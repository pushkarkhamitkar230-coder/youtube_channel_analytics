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\YT DATA\"/>
    </mc:Choice>
  </mc:AlternateContent>
  <xr:revisionPtr revIDLastSave="0" documentId="13_ncr:9_{CCAC5D28-0838-4400-8CA3-0B4E775C09C2}" xr6:coauthVersionLast="47" xr6:coauthVersionMax="47" xr10:uidLastSave="{00000000-0000-0000-0000-000000000000}"/>
  <bookViews>
    <workbookView xWindow="-108" yWindow="-108" windowWidth="23256" windowHeight="12456" xr2:uid="{1696205D-70A7-4791-AA4B-B028D7F02E52}"/>
  </bookViews>
  <sheets>
    <sheet name="Table data" sheetId="1" r:id="rId1"/>
    <sheet name="TOTAL" sheetId="2" r:id="rId2"/>
  </sheets>
  <calcPr calcId="0"/>
</workbook>
</file>

<file path=xl/calcChain.xml><?xml version="1.0" encoding="utf-8"?>
<calcChain xmlns="http://schemas.openxmlformats.org/spreadsheetml/2006/main">
  <c r="Y47" i="1" l="1" a="1"/>
  <c r="Y47" i="1" s="1"/>
  <c r="Z47" i="1" s="1" a="1"/>
  <c r="Z47" i="1" s="1"/>
  <c r="U2" i="1"/>
  <c r="U3" i="1"/>
  <c r="U4" i="1"/>
  <c r="U31" i="1"/>
  <c r="U287" i="1"/>
  <c r="U7" i="1"/>
  <c r="U8" i="1"/>
  <c r="U217" i="1"/>
  <c r="U10" i="1"/>
  <c r="U11" i="1"/>
  <c r="U12" i="1"/>
  <c r="U114" i="1"/>
  <c r="U14" i="1"/>
  <c r="U278" i="1"/>
  <c r="U47" i="1"/>
  <c r="U29" i="1"/>
  <c r="U148" i="1"/>
  <c r="U103" i="1"/>
  <c r="U20" i="1"/>
  <c r="U21" i="1"/>
  <c r="U22" i="1"/>
  <c r="U23" i="1"/>
  <c r="U24" i="1"/>
  <c r="U25" i="1"/>
  <c r="U26" i="1"/>
  <c r="U27" i="1"/>
  <c r="U28" i="1"/>
  <c r="U18" i="1"/>
  <c r="U30" i="1"/>
  <c r="U68" i="1"/>
  <c r="U32" i="1"/>
  <c r="U33" i="1"/>
  <c r="U34" i="1"/>
  <c r="U35" i="1"/>
  <c r="U36" i="1"/>
  <c r="U37" i="1"/>
  <c r="U6" i="1"/>
  <c r="U39" i="1"/>
  <c r="U40" i="1"/>
  <c r="U41" i="1"/>
  <c r="U42" i="1"/>
  <c r="U100" i="1"/>
  <c r="U44" i="1"/>
  <c r="U45" i="1"/>
  <c r="U46" i="1"/>
  <c r="U336" i="1"/>
  <c r="U48" i="1"/>
  <c r="U162" i="1"/>
  <c r="U49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149" i="1"/>
  <c r="U67" i="1"/>
  <c r="U195" i="1"/>
  <c r="U69" i="1"/>
  <c r="U70" i="1"/>
  <c r="U71" i="1"/>
  <c r="U72" i="1"/>
  <c r="U73" i="1"/>
  <c r="U74" i="1"/>
  <c r="U75" i="1"/>
  <c r="U44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132" i="1"/>
  <c r="U92" i="1"/>
  <c r="U93" i="1"/>
  <c r="U94" i="1"/>
  <c r="U95" i="1"/>
  <c r="U96" i="1"/>
  <c r="U97" i="1"/>
  <c r="U98" i="1"/>
  <c r="U99" i="1"/>
  <c r="U50" i="1"/>
  <c r="U101" i="1"/>
  <c r="U102" i="1"/>
  <c r="U396" i="1"/>
  <c r="U471" i="1"/>
  <c r="U105" i="1"/>
  <c r="U106" i="1"/>
  <c r="U107" i="1"/>
  <c r="U108" i="1"/>
  <c r="U109" i="1"/>
  <c r="U110" i="1"/>
  <c r="U111" i="1"/>
  <c r="U112" i="1"/>
  <c r="U113" i="1"/>
  <c r="U403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210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38" i="1"/>
  <c r="U5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501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238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76" i="1"/>
  <c r="U211" i="1"/>
  <c r="U212" i="1"/>
  <c r="U213" i="1"/>
  <c r="U214" i="1"/>
  <c r="U215" i="1"/>
  <c r="U216" i="1"/>
  <c r="U419" i="1"/>
  <c r="U218" i="1"/>
  <c r="U219" i="1"/>
  <c r="U220" i="1"/>
  <c r="U221" i="1"/>
  <c r="U222" i="1"/>
  <c r="U223" i="1"/>
  <c r="U481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63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317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352" i="1"/>
  <c r="U277" i="1"/>
  <c r="U19" i="1"/>
  <c r="U279" i="1"/>
  <c r="U280" i="1"/>
  <c r="U281" i="1"/>
  <c r="U282" i="1"/>
  <c r="U283" i="1"/>
  <c r="U284" i="1"/>
  <c r="U285" i="1"/>
  <c r="U286" i="1"/>
  <c r="U91" i="1"/>
  <c r="U288" i="1"/>
  <c r="U289" i="1"/>
  <c r="U290" i="1"/>
  <c r="U224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15" i="1"/>
  <c r="U311" i="1"/>
  <c r="U312" i="1"/>
  <c r="U313" i="1"/>
  <c r="U314" i="1"/>
  <c r="U315" i="1"/>
  <c r="U316" i="1"/>
  <c r="U16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104" i="1"/>
  <c r="U335" i="1"/>
  <c r="U427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276" i="1"/>
  <c r="U353" i="1"/>
  <c r="U354" i="1"/>
  <c r="U355" i="1"/>
  <c r="U356" i="1"/>
  <c r="U357" i="1"/>
  <c r="U358" i="1"/>
  <c r="U359" i="1"/>
  <c r="U360" i="1"/>
  <c r="U310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13" i="1"/>
  <c r="U397" i="1"/>
  <c r="U398" i="1"/>
  <c r="U399" i="1"/>
  <c r="U400" i="1"/>
  <c r="U401" i="1"/>
  <c r="U402" i="1"/>
  <c r="U9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334" i="1"/>
  <c r="U420" i="1"/>
  <c r="U421" i="1"/>
  <c r="U422" i="1"/>
  <c r="U423" i="1"/>
  <c r="U424" i="1"/>
  <c r="U425" i="1"/>
  <c r="U426" i="1"/>
  <c r="U43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6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17" i="1"/>
  <c r="U472" i="1"/>
  <c r="U473" i="1"/>
  <c r="U474" i="1"/>
  <c r="U475" i="1"/>
  <c r="U476" i="1"/>
  <c r="U477" i="1"/>
  <c r="U478" i="1"/>
  <c r="U479" i="1"/>
  <c r="U480" i="1"/>
  <c r="U36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29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<sst xmlns="http://schemas.openxmlformats.org/spreadsheetml/2006/main" count="1048" uniqueCount="1026">
  <si>
    <t>Content</t>
  </si>
  <si>
    <t>Video title</t>
  </si>
  <si>
    <t>Video publish time</t>
  </si>
  <si>
    <t>Duration</t>
  </si>
  <si>
    <t>Average percentage viewed (%)</t>
  </si>
  <si>
    <t>Unique viewers</t>
  </si>
  <si>
    <t>New viewers</t>
  </si>
  <si>
    <t>Returning viewers</t>
  </si>
  <si>
    <t>Average views per viewer</t>
  </si>
  <si>
    <t>Subscribers gained</t>
  </si>
  <si>
    <t>Subscribers lost</t>
  </si>
  <si>
    <t>Likes</t>
  </si>
  <si>
    <t>Dislikes</t>
  </si>
  <si>
    <t>Likes (vs. dislikes) (%)</t>
  </si>
  <si>
    <t>Shares</t>
  </si>
  <si>
    <t>Comments added</t>
  </si>
  <si>
    <t>RPM (INR)</t>
  </si>
  <si>
    <t>YouTube Premium views</t>
  </si>
  <si>
    <t>Views</t>
  </si>
  <si>
    <t>Watch time (hours)</t>
  </si>
  <si>
    <t>Estimated revenue (INR)</t>
  </si>
  <si>
    <t>Average view duration</t>
  </si>
  <si>
    <t>Impressions</t>
  </si>
  <si>
    <t>Impressions click-through rate (%)</t>
  </si>
  <si>
    <t>Total</t>
  </si>
  <si>
    <t>ybNpeXFp_Ik</t>
  </si>
  <si>
    <t>Vande Bharat Express Derailment Detailed Coverage | Mumbai - Solapur Vande Bharat derailed at Pune</t>
  </si>
  <si>
    <t>mDlnoqGiV88</t>
  </si>
  <si>
    <t>Solapur - Mumbai 1st Flight Journey | Star Air Business Class Experience</t>
  </si>
  <si>
    <t>BQlLb7LjqIQ</t>
  </si>
  <si>
    <t>Kalburgi to Kolhapur train journey via Miraj | Kalburgi - Kolhapur Express | Pushkar Khamitkar</t>
  </si>
  <si>
    <t>h2SOlgzpLcQ</t>
  </si>
  <si>
    <t>Pune to Nagpur Full Journey in Vande Bharat Express | 1st Commercial Run</t>
  </si>
  <si>
    <t>GsxzQqLzQNo</t>
  </si>
  <si>
    <t>Brand New Vande Sadharan Express first look | Non Ac Sleeper Vande Bharat | In-transit</t>
  </si>
  <si>
    <t>8ECIlkImKkc</t>
  </si>
  <si>
    <t>Swargate to Pune Railway Station in Pune Metro in â‚¹20 | Purple line to Aqua Line</t>
  </si>
  <si>
    <t>ML_zr5d5oFk</t>
  </si>
  <si>
    <t>Swargate - Civil Court Newly opened Metro Line Ride | #punemetro #mahametro</t>
  </si>
  <si>
    <t>C6EAO4joRJw</t>
  </si>
  <si>
    <t>Kalaburagi - Bengaluru Vande Bharat Express Innaugral Journey | Food , timings &amp; interiors</t>
  </si>
  <si>
    <t>UHXlDHAexlY</t>
  </si>
  <si>
    <t>KSKvFC7_idg</t>
  </si>
  <si>
    <t>Kolhapur to Nagpur Full Journey | 11404 : Kolhapur - Nagpur Express with Pune WDP-4D</t>
  </si>
  <si>
    <t>d0ccl5TXjME</t>
  </si>
  <si>
    <t>1AT AC INTERIOR OF LHB COACHES | UDYAN EXPRESS | PUSHKAR KHAMITKAR</t>
  </si>
  <si>
    <t>6iqT1AGMaCU</t>
  </si>
  <si>
    <t>Innaugral train Journey in Pune Hubballi Vande Bharat Express | Food and Interiors</t>
  </si>
  <si>
    <t>YgnxzdTOAJU</t>
  </si>
  <si>
    <t>Solapur - Hassan Express 1st Lhb run | Solapur Railway Station | Pushkar Khamitkar</t>
  </si>
  <si>
    <t>baF4le3xdEM</t>
  </si>
  <si>
    <t>Jalna - Mumbai Vande Bharat Express first look | Jalna Railway Station</t>
  </si>
  <si>
    <t>VHtrcjEm5yM</t>
  </si>
  <si>
    <t>Ajni ( Nagpur ) - Pune Vande Bharat Timings , Halts and Route Map | India's Longest Vande Bharat</t>
  </si>
  <si>
    <t>ynqThhRN2Mc</t>
  </si>
  <si>
    <t>Nagpur - Pune Vande Bharat Express Full Journey in 12 Hours | India's Longest Vande Bharat Express</t>
  </si>
  <si>
    <t>1rmCu4HQOkk</t>
  </si>
  <si>
    <t>Kolhapur - Pune Vande Bharat Express , Timings and Route Map</t>
  </si>
  <si>
    <t>JAt7Bfa0pKs</t>
  </si>
  <si>
    <t>20673 : Kolhapur Pune Vande Bharat Express Full Journey | Food Review | AC Chair Car</t>
  </si>
  <si>
    <t>4tiZ7X9ErvI</t>
  </si>
  <si>
    <t>Nagpur to Pune Full Journey in LHB Garibrath Express : 12114 Nagpur - Pune Garibrath Express</t>
  </si>
  <si>
    <t>8OSe1a42Rx4</t>
  </si>
  <si>
    <t>Solapur from Skies and Landing at Solapur Airport</t>
  </si>
  <si>
    <t>Y_BYrOBisMk</t>
  </si>
  <si>
    <t>LATEST ELECTRIFICATION UPDATE | AKKALKOT SOLAPUR | SOLAPUR WADI ELECTRIFICATION | PUSHKAR KHAMITKAR</t>
  </si>
  <si>
    <t>GtNQv8BVF8k</t>
  </si>
  <si>
    <t>Pune to Goa Train Monsoon Special Journey via Dudhsagar Waterfalls | 11097 : Poorna Express Journey</t>
  </si>
  <si>
    <t>zOLc5MYUOMs</t>
  </si>
  <si>
    <t>01023 : Pune - Kolhapur Spl Fare Express | Sahyadri Express Full Journey &amp; Timings</t>
  </si>
  <si>
    <t>JzLPuPCWlx0</t>
  </si>
  <si>
    <t>Solapur to Kolhapur Train Journey in 22155 Kalburgi - Kolhapur Express</t>
  </si>
  <si>
    <t>rKsd-6xShp4</t>
  </si>
  <si>
    <t>AKKALKOT ROAD RAILWAY STATION ELECTRIFICATION STATUS |PUSHKAR KHAMITKAR</t>
  </si>
  <si>
    <t>jCGaluVbbS8</t>
  </si>
  <si>
    <t>LHB coaches of Deccan Queen Express in-transit towards Pune | Pushkar Khamitkar</t>
  </si>
  <si>
    <t>wKmXTTlu2Rg</t>
  </si>
  <si>
    <t>DAUNJ JN SKIP , DAUND LOCO SHED , DAUND CHORD LINE | PUSHKAR KHAMITKAR</t>
  </si>
  <si>
    <t>nij7vX3OcBY</t>
  </si>
  <si>
    <t>Catering service of Pune - Nagpur Vande Bharat Express #vandebharatexpress #irctc #vandebharatfood</t>
  </si>
  <si>
    <t>Ip-6mPeUf1M</t>
  </si>
  <si>
    <t>Pune - Solapur 130 Kmph Journey in 12169 Intercity Express</t>
  </si>
  <si>
    <t>DW_AFiznDXU</t>
  </si>
  <si>
    <t>Pune - Kolhapur Vande Bharat Express Timings and Route Map</t>
  </si>
  <si>
    <t>NY3ZXuCpwk0</t>
  </si>
  <si>
    <t>Train Journey from Solapur to Miraj | Part 1 : Solapur to Pune via Miraj | Pushkar Khamitkar</t>
  </si>
  <si>
    <t>2uthMn0JYSU</t>
  </si>
  <si>
    <t>1st Run Journey of 12025 : Pune - Secunderabad Shatabdi Express | Vistadome | Pushkar Khamitkar</t>
  </si>
  <si>
    <t>i06CD7xkkhY</t>
  </si>
  <si>
    <t>TRACK LOWERING AT SOLAPUR OUTER ROB AND ELECTRIFICATION UPDATE OF SOLAPUR RAILWAY STATION</t>
  </si>
  <si>
    <t>sSDjvp4IBqo</t>
  </si>
  <si>
    <t>SUBSCRIBE FOR MORE SHORT VIDEOS .</t>
  </si>
  <si>
    <t>5Mvx5CV1YTQ</t>
  </si>
  <si>
    <t>Udyan / Siddeshwar Express 3AC Economy coach interior | Most affordable Ac class | Pushkar Khamitkar</t>
  </si>
  <si>
    <t>l5ATWaeTElw</t>
  </si>
  <si>
    <t>Journey in Kalburgi - Bidar Diesel Section of SCR | Kalburgi - Bidar DEMU | Pushkar Khamitkar</t>
  </si>
  <si>
    <t>pQbVScHIQHQ</t>
  </si>
  <si>
    <t>Mumbai - Solapur Vande Bharat Express Derailed at Pune</t>
  </si>
  <si>
    <t>869PITs74Jg</t>
  </si>
  <si>
    <t>Solapur - Mumbai Flight | Star Air Business Class</t>
  </si>
  <si>
    <t>3upTo1XBiHs</t>
  </si>
  <si>
    <t>CAN SOLAPUR AND KURUDWADI BE LOCO CHANGE POINT FOR PIGGYBACK SYSTEM ? | PUSHKAR KHAMITKAR</t>
  </si>
  <si>
    <t>84wgm8tskbo</t>
  </si>
  <si>
    <t>Solapur - Hospete ( Hampi ) train journey in Mumbai - Hospete Express via Solapur</t>
  </si>
  <si>
    <t>w0dfNQNsi0I</t>
  </si>
  <si>
    <t>11418 : Solapur - Pune Express Journey | Full Journey with crossings | Pushkar Khamitkar</t>
  </si>
  <si>
    <t>xXs4btMhuQ4</t>
  </si>
  <si>
    <t>20673 : Kolhapur Pune Vande Bharat Express Route Map</t>
  </si>
  <si>
    <t>7E7khQClGxE</t>
  </si>
  <si>
    <t>Beautiful Braganza Ghats in Mansoon | #indianrailways #mansoon #ghatsofvaranasi</t>
  </si>
  <si>
    <t>yhk7CKCSFO8</t>
  </si>
  <si>
    <t>Pune to Phaltan train journey to one of the unique section of Indian Railways | Pushkar Khamitkar</t>
  </si>
  <si>
    <t>gdGA_rJr1gA</t>
  </si>
  <si>
    <t>11311 : Solapur Hassan Superfast Express Journey from Solapur to Yesvantpur ( Bengaluru )</t>
  </si>
  <si>
    <t>kbAfD3FsMME</t>
  </si>
  <si>
    <t>Fastest train to Pune from Solapur | Vande Bharat Express | Journey , Food | Pushkar Khamitkar</t>
  </si>
  <si>
    <t>2DobvdJiJ6Y</t>
  </si>
  <si>
    <t>1ST AC JOURNEY IN UDYAN EXPRESS FROM SOLAPUR TO PUNE | TRAVEL VLOG - 1 | PUSHKAR KHAMITKAR</t>
  </si>
  <si>
    <t>QjGQSBNpsow</t>
  </si>
  <si>
    <t>Bhagwa / Orange Vande Bharat Express | #vandebharatexpress #indianrailways</t>
  </si>
  <si>
    <t>fzu0TRi5q9k</t>
  </si>
  <si>
    <t xml:space="preserve">Vande Bharat Failed !! Deccan Queen on Rescue towards Solapur </t>
  </si>
  <si>
    <t>R9uTfMW-iX4</t>
  </si>
  <si>
    <t>Two trains on same track at Pune Junction | Incoming train traffic #indianrailways #centralrailway</t>
  </si>
  <si>
    <t>wrDBWOkvwGg</t>
  </si>
  <si>
    <t>Pune Grand Tour Cycling 2026 #punegrandtour</t>
  </si>
  <si>
    <t>A_f8Qampkn4</t>
  </si>
  <si>
    <t>Swargate Metro Station Detailed Walkthrough | #punemetro #mahametro</t>
  </si>
  <si>
    <t>5SS7XWt9vu0</t>
  </si>
  <si>
    <t>Mumbai - Solapur Inaugural Flight Water Cannon Salute at Solapur AirPort</t>
  </si>
  <si>
    <t>jq3sIk17QWg</t>
  </si>
  <si>
    <t>22156 : Kolhapur - Kalaburagi Superfast Express Journey from  Kolhapur to Solapur</t>
  </si>
  <si>
    <t>OQ5NAzZuZY8</t>
  </si>
  <si>
    <t>Msrtc Bs-6 Hirkani new look | #msrtc #hirkani #maharashtra #bus #tata</t>
  </si>
  <si>
    <t>Thh-WYbhJCg</t>
  </si>
  <si>
    <t>Bangalore to Belagavi Full Train Journey in 20653: Belagavi Superfast Express</t>
  </si>
  <si>
    <t>f3nlUFbDBqE</t>
  </si>
  <si>
    <t>Solapur City from the Sky | Take-off from Solapur Airport</t>
  </si>
  <si>
    <t>fAe2n2u44Lk</t>
  </si>
  <si>
    <t>Innaugral Journey in Bidar to Yesvantpur Weekly Express Full Journey via Kalaburagi</t>
  </si>
  <si>
    <t>xgSgIkfl8Rg</t>
  </si>
  <si>
    <t>BOYS THROWING STONES AT TRAIN IN SOLAPUR | PUSHKAR KHAMITKAR</t>
  </si>
  <si>
    <t>wm5JKmGBGVQ</t>
  </si>
  <si>
    <t>Mumbai - Pune Non-Stop Shivneri Bus via Atal Setu Journey | Mantralay - Swargate via Atal-Setu</t>
  </si>
  <si>
    <t>6NsfObiHPY8</t>
  </si>
  <si>
    <t>Msrtc Volvo Shivneri Bus on Kolhapur - Pune Route</t>
  </si>
  <si>
    <t>x9cyQnMr84U</t>
  </si>
  <si>
    <t>Deccan Queen Birthday Celebration and Loco Decoration | 95th Birthday Celebration</t>
  </si>
  <si>
    <t>HGNQ9QCfz9E</t>
  </si>
  <si>
    <t>Siddeshwar Express Full Journey | Mumbai to Solapur Train Journey</t>
  </si>
  <si>
    <t>Twuy7cgaK9c</t>
  </si>
  <si>
    <t>MAJOR ELECTRIFICATION WIRING WORK UPDATE OF SOLAPUR RAILWAY STATION | PUSHKAR KHAMITKAR</t>
  </si>
  <si>
    <t>xQk240NcgWM</t>
  </si>
  <si>
    <t>22226 Vande Bharat Express | #vandebharatexpress #indianrailways</t>
  </si>
  <si>
    <t>BvXXwaNeqLE</t>
  </si>
  <si>
    <t>Hutatma Express crossing with Pune Harangul Express</t>
  </si>
  <si>
    <t>ouwhhdvPxzM</t>
  </si>
  <si>
    <t>Kalaburagi - Bengaluru Vande Bharat Express #vandebharatexpress ##indianrailways</t>
  </si>
  <si>
    <t>17b2LXd0e2g</t>
  </si>
  <si>
    <t>Bengaluru to Pune train journey in 11302 Udyan Express</t>
  </si>
  <si>
    <t>rfWPfFO-GT8</t>
  </si>
  <si>
    <t>Solapur - Hyderabad Intercity special Express 1st run | Solapur Railway Station | Pushkar Khamitkar</t>
  </si>
  <si>
    <t>_EWHIPR_1_Q</t>
  </si>
  <si>
    <t>93rd Birthday celebration of Deccan Queen Express | Loco decoration cake cutting | Pushkar Khamitkar</t>
  </si>
  <si>
    <t>Fo9MyX-N2Tg</t>
  </si>
  <si>
    <t>Best Stay at Retiring Room at KSR Bengaluru Railway Station</t>
  </si>
  <si>
    <t>C9L7Lz6QG7I</t>
  </si>
  <si>
    <t>Pandharpur - Mysuru Gol Gumbaz Express innaugral run Journey , Pandharpur - Solapur</t>
  </si>
  <si>
    <t>qC5y5wf30Cg</t>
  </si>
  <si>
    <t>SOLAPUR KURUDWADI ELECTRIFICATION STATUS | SOLAPUR DIVISION | PUSHKAR KHAMITKAR</t>
  </si>
  <si>
    <t>YB6X6ze9-0I</t>
  </si>
  <si>
    <t>Pune to Kolhapur Train Journey in 11040 : Maharashtra Express</t>
  </si>
  <si>
    <t xml:space="preserve"> -ECLF2G_0cs</t>
  </si>
  <si>
    <t>2nd rake for Mumbai CSMT Vande Bharat Express in transit at Pune | Pushkar Khamitkar</t>
  </si>
  <si>
    <t>snLGOMziWu8</t>
  </si>
  <si>
    <t>WIRING COMPLETED TILL SOLAPUR | WHICH TRAIN WILL GET E-LOCO ?? | PUSHKAR KHAMITKAR</t>
  </si>
  <si>
    <t>4vRMuJYJ4Qk</t>
  </si>
  <si>
    <t>Dudhsagar Waterfall overflowing in  Mansoon #mansoon #dudhsagarwaterfalls #dudhsagar #indianrailways</t>
  </si>
  <si>
    <t>8dINHgInmPs</t>
  </si>
  <si>
    <t>Loco change and quick loco startup at Solapur for Ltt Visakhapatnam Express | Pushkar Khamitkar</t>
  </si>
  <si>
    <t>DqbMLsutoxk</t>
  </si>
  <si>
    <t>Latur to Pune Train Journey | Best train from Latur and Dharashiv to Pune</t>
  </si>
  <si>
    <t>24HS1AwiFIQ</t>
  </si>
  <si>
    <t>Solapur to Chennai Fastest Train Journey in 12163 LTT - MGR Chennai Central Superfast Express</t>
  </si>
  <si>
    <t>LddQ4KRsCfY</t>
  </si>
  <si>
    <t>Parli Vaijnath Railway Station | Arrival and Departure | Nanded - Panvel Express | Pushkar Khamitkar</t>
  </si>
  <si>
    <t>feCXjqNvPCs</t>
  </si>
  <si>
    <t>Latest Doublingand Bridge Updates | Solapur - Pune Doubling | Pushkar Khamitkar</t>
  </si>
  <si>
    <t>YbTdIns-V7U</t>
  </si>
  <si>
    <t>Private Train | Bharat Gaurav Express arrival at Solapur | Pushkar Khamitkar</t>
  </si>
  <si>
    <t xml:space="preserve"> -WdOrIqswyM</t>
  </si>
  <si>
    <t>DOUBLING STATUS OF BHALWANI - BHIGWAN SECTION | SOLAPUR DIVISION | PUSHKAR KHAMITKAR</t>
  </si>
  <si>
    <t>1hWoESPHWlA</t>
  </si>
  <si>
    <t>Ro-Ro Service of Konkan Railways | Mandovi Express</t>
  </si>
  <si>
    <t>fdeEvf5WIXg</t>
  </si>
  <si>
    <t>12169 : Pune - Solapur Intercity Express Journey at 130 Kmph | Highspeed crossings and Station skips</t>
  </si>
  <si>
    <t>iK4B0Uzx8-w</t>
  </si>
  <si>
    <t>E-Loco enters Solapur for the very first time with passenger express train | Pushkar Khamitkar</t>
  </si>
  <si>
    <t>ASreH7kkwik</t>
  </si>
  <si>
    <t>Solapur Flight Innaugration and 1st take-off | Fly 91 Solapur - Goa Flights timings and fare âœˆï¸</t>
  </si>
  <si>
    <t>oo5-wyosUUA</t>
  </si>
  <si>
    <t>Pune to Solapur in 3 Hours in Shatabdi Express | Pune - Hyderabad Shatabdi Express</t>
  </si>
  <si>
    <t>apRXVllRw5Y</t>
  </si>
  <si>
    <t>Pune - Hubballi and Kolhapur Vande Bharat First Looks and interiors | #vandebharatexpress</t>
  </si>
  <si>
    <t>Pn1B29qf30c</t>
  </si>
  <si>
    <t>NAGERCOIL EXPRESS BACK TO ITS ORIGNAL ROUTE | PUNE WDM-3D ALCO TWIN AND LALAGUDA WAP-7  AS PIGGYBACK</t>
  </si>
  <si>
    <t>L4WTo8BXfzU</t>
  </si>
  <si>
    <t>SOLAPUR BRIDGE NEW AND LATEST UPDATE | RAIL | ROB | SOLAPUR ELECTRIFICATION | PUSHKAR KHAMITKAR</t>
  </si>
  <si>
    <t>Vxg5D2kUtZM</t>
  </si>
  <si>
    <t>Pune - Secunderabad Shatabdi Express Vistadome Coach #vistadome #indianrailways #shatabdiexpress</t>
  </si>
  <si>
    <t>4VMD_XiTS18</t>
  </si>
  <si>
    <t>Tejas Livered Wap-5 with 12 Hours delayed Secunderabad - Pune Shatabdi Express | Pushkar Khamitkar</t>
  </si>
  <si>
    <t>c9Jv09Flzqs</t>
  </si>
  <si>
    <t>NEW SOLAPUR RAILWAY STATION DEVLOPED UNDER SMATR CITY SCHEME #solapur #solapursmartcity #smartcity</t>
  </si>
  <si>
    <t>fbFdz3qArt0</t>
  </si>
  <si>
    <t>Pune to Bidar Train Journey in 22143 Bidar Express | Pune Wap-7 in lead</t>
  </si>
  <si>
    <t>t-IE6Ip7JY0</t>
  </si>
  <si>
    <t>PORNA OIL WAP - 7 WITH 01301 UDYAN EXPRESS | PUSHKAR KHAMITKAR</t>
  </si>
  <si>
    <t>oAf4B6Dwxv8</t>
  </si>
  <si>
    <t>Solapur to Pune Intercity ( indrayani ) Express Journey | Pushkar Khamitkar</t>
  </si>
  <si>
    <t>IS4XV8vax1E</t>
  </si>
  <si>
    <t>Solapur to Pune Journey in Vande Bharat Express at 130 Kmph | Solapur Division Speed Upgrade</t>
  </si>
  <si>
    <t>jjhW9poXQU0</t>
  </si>
  <si>
    <t>Pune - Miraj innaugral run full journey | 01423 Pune - Miraj Special Express | Pushkar Khamitkar</t>
  </si>
  <si>
    <t>jboAp0Bn8kE</t>
  </si>
  <si>
    <t>Bird eye view of Coimbatore Express at Solapur</t>
  </si>
  <si>
    <t>4ZFU4JZjdU8</t>
  </si>
  <si>
    <t>Vande Bharat Express Cabin view | Solapur - Mumbai Vande Bharat Express #vandebharatexpress</t>
  </si>
  <si>
    <t>kN7tpsS5DEI</t>
  </si>
  <si>
    <t>Solapur - Mumbai CSMT Vande Bharat Express</t>
  </si>
  <si>
    <t>yOnEs8xo158</t>
  </si>
  <si>
    <t>01487 : Pune - Latur ( Harangul ) Intercity Express Full Journey | Festival Special</t>
  </si>
  <si>
    <t>zQLK9YLIWHA</t>
  </si>
  <si>
    <t>Solapur - Pune Intercity (Indrayani) Express Resumes it's Services with E-loco | Solapur Arrival</t>
  </si>
  <si>
    <t>GeQO_LS3ggU</t>
  </si>
  <si>
    <t>Maharashtraâ€™s Longest Train Journey | 11040 : Maharashtra Express from Gondia to Kolhapur</t>
  </si>
  <si>
    <t>msaBT4yclDA</t>
  </si>
  <si>
    <t>BHALWANI - BHIGWAN DOUBLING STATUS AS OF FEBRUARY | PUSHKAR KHAMITKAR</t>
  </si>
  <si>
    <t>rB8PMKAnWW0</t>
  </si>
  <si>
    <t>Msrtc E-Shivai 2.0 | Pune - Beed New E-Shivai | à¤ªà¥à¤£à¥‡ - à¤¬à¥€à¤¡ à¤ˆ à¤¶à¤¿à¤µà¤¾à¤ˆà¤šà¤¾ à¤¸à¤‚à¤ªà¥‚à¤°à¥à¤£ à¤ªà¥à¤°à¤µà¤¾à¤¸</t>
  </si>
  <si>
    <t>ESmws_C4MaE</t>
  </si>
  <si>
    <t>First End to End E-loco run of Udyan express without Piggyback | Pushkar Khamitkar</t>
  </si>
  <si>
    <t>C4swrWikSUE</t>
  </si>
  <si>
    <t>Inaugural Run of Pune - Sainagar Shirdi Intercity Express</t>
  </si>
  <si>
    <t xml:space="preserve"> -okf_eV3iQQ</t>
  </si>
  <si>
    <t>Bird eye view of Ltt - Vishakapatnam Express at Kamshet #indianrailways</t>
  </si>
  <si>
    <t>RdaBinA5KkQ</t>
  </si>
  <si>
    <t>Pune - Solapur Hutatma Express Train Journey : 12157 : Hutatma Express</t>
  </si>
  <si>
    <t>STE_TrAdG1M</t>
  </si>
  <si>
    <t>Solapur - Mumbai Vande Bharat Express Journey | 1st Commercial run Executive class</t>
  </si>
  <si>
    <t>2ORTE50OG_o</t>
  </si>
  <si>
    <t>WIRING DONE | SOLAPUR GULBARGA ELECTRIFICATION UPDATE | TILATI RAILWAY STATION | PUSHKAR KHAMITKAR</t>
  </si>
  <si>
    <t>DwnD5vHfpiI</t>
  </si>
  <si>
    <t>Hubballi to Solapur Train Journey in Gol Gumbaz Express via Gadag - Vijaypura</t>
  </si>
  <si>
    <t>f0EsZN8hedE</t>
  </si>
  <si>
    <t>Solapur Outer ROB Latest Update</t>
  </si>
  <si>
    <t>qfbR7iI0oSg</t>
  </si>
  <si>
    <t>Goa - Solapur Flight Landing at Solapur Airport | Fly-91 | IC1402 #solapurairport</t>
  </si>
  <si>
    <t>sJEuL7FVP-M</t>
  </si>
  <si>
    <t>Mysuru - Pandharpur Gol Gumbaz Express 1st arrival at Pandharpur | Extention till Pandharpur</t>
  </si>
  <si>
    <t>b9VtDs2Y60o</t>
  </si>
  <si>
    <t>Pune - Solapur Fastest Train Journey In 12025 Pune - Secunderabad Shatabdi Express</t>
  </si>
  <si>
    <t>mK5elWSZzYc</t>
  </si>
  <si>
    <t>11 in 1 | Premium and High Priority trains at Solapur</t>
  </si>
  <si>
    <t>gRykqydtl68</t>
  </si>
  <si>
    <t>Solapur Road Over Bridge issue all details | Issue Solved | Pushkar Khamitkar</t>
  </si>
  <si>
    <t>H3iCDtsfHYg</t>
  </si>
  <si>
    <t>Solapur - Hyderabad Flight Experience #fly91 #solapurairport</t>
  </si>
  <si>
    <t>Kc3uE8DXKD4</t>
  </si>
  <si>
    <t>Mandovi Express : Konkan Railways</t>
  </si>
  <si>
    <t>AwYenA7UwcQ</t>
  </si>
  <si>
    <t>OHE INSPECTION CAR OF RAIL VIKAS NIGAM LIMITED | HOTGI JUNCTION | PUSHKAR KHAMITKAR</t>
  </si>
  <si>
    <t>HKLDojzYeRI</t>
  </si>
  <si>
    <t>WIRING STARTED AT HOTGI ON HOTGI - VIJAYAPURA LINE | SOLAPUR ELECTRIFICATION | PUSHKAR KHAMITKAR</t>
  </si>
  <si>
    <t>zZ7xMqQ8a7M</t>
  </si>
  <si>
    <t>MSRTC Mumbai ( Mantralay ) - Pune Shivneri via Atal Setu Full Journey | Msrtc Scania Shivneri</t>
  </si>
  <si>
    <t>SU8SSO5qlKE</t>
  </si>
  <si>
    <t>LTT - VSKP Express 1st eloco run and loco change from WCAM-3 to WAP-4 at Solapur | Pushkar Khamitkar</t>
  </si>
  <si>
    <t>3Yj5i7t-8n4</t>
  </si>
  <si>
    <t>Miraj to Pune onboard Thiruvananthapuram Express | Part 2 Solapur Pune via Miraj | Pushkar Khamitkar</t>
  </si>
  <si>
    <t>PveM7DhRnu4</t>
  </si>
  <si>
    <t>Kalburgi - Kolhapur Express inaugral run , Ajj Wap - 4 | Pushkar Khamitkar</t>
  </si>
  <si>
    <t>gjcLc2e4HvI</t>
  </si>
  <si>
    <t>Basava Express and Hassan Solapur Express Skipping Tikekarwadi | Pushkar Khamitkar</t>
  </si>
  <si>
    <t>sf4V1kSQrMs</t>
  </si>
  <si>
    <t>Orange Vande Bharat meets White Vande Bharat at Hindupur Railway Station</t>
  </si>
  <si>
    <t>EJVU0vKsjKQ</t>
  </si>
  <si>
    <t>SOLAPUR RAILWAY STATION ELECTRIFICATION | DAUND WADI ELECTRIFICATION | WIRING |PUSHKAR KHAMITKAR</t>
  </si>
  <si>
    <t>aNItwyE3NbA</t>
  </si>
  <si>
    <t>Hotgi - Solapur Crs inspection date and Electrification status | Pushkar Khamitkar</t>
  </si>
  <si>
    <t>FXDWY5B4cz8</t>
  </si>
  <si>
    <t>Solapur - Pune Electric Bus Full Journey , MSRTC's E-Shivai | Full video with fare and timings</t>
  </si>
  <si>
    <t>HOTUH_Y26Q8</t>
  </si>
  <si>
    <t>Gadag - Bagalkot line Doubling and Electrification status | Gadag - Solapur Line | Pushkar Khamitkar</t>
  </si>
  <si>
    <t>d6ToUp4BSYE</t>
  </si>
  <si>
    <t>Electric Loco Bhusawal WAG-9 HC at Solapur Railway Station | Pushkar Khamitkar</t>
  </si>
  <si>
    <t>J6UKrb_a6Ic</t>
  </si>
  <si>
    <t>Godfather #12001 visits Solapur | Ubl Wdg-4 India's first imported HHP locomotive</t>
  </si>
  <si>
    <t>tzxD0l0JYnk</t>
  </si>
  <si>
    <t>12158 : Hutatma Express Journey in 3 Tier AC | Solapur - Pune Train Journey</t>
  </si>
  <si>
    <t>KL2sTijYtAY</t>
  </si>
  <si>
    <t>SOLAPUR RAILWAY STATION BRACKET INSTALLATION STARTED | SOLAPUR ELECTRIFICATION | PUSHKAR KHAMITKAR</t>
  </si>
  <si>
    <t>sE0HTon0td0</t>
  </si>
  <si>
    <t>Swargate - PCMC Pimpri Chinchawad Metro Ride : Purple Line Pune Metro</t>
  </si>
  <si>
    <t>KXHNOa6Yfws</t>
  </si>
  <si>
    <t>Tricolor Alcos Smoking and Chugging with Resheduled Gadag Express | Pushkar Khamitkar</t>
  </si>
  <si>
    <t>g69nNRoKiN8</t>
  </si>
  <si>
    <t>92nd Birthday Celebration and Departure of Deccan Queen Express at Pune Junction | Pushkar Khamitkar</t>
  </si>
  <si>
    <t>k9hGfGrON_A</t>
  </si>
  <si>
    <t>Parewadi - Bhigwan Doubling works and Daund Electric Loco Shed Status | Pushkar Khamitkar</t>
  </si>
  <si>
    <t>kXhwLhXDB3Y</t>
  </si>
  <si>
    <t>Journey behind Ratlam Alco | Ajmer - Solapur Express | Pune to Solapur | Pushkar Khamitkar</t>
  </si>
  <si>
    <t xml:space="preserve"> -ACzKfBOVzc</t>
  </si>
  <si>
    <t>HYDERABAD METRO NAMPALLY STATION</t>
  </si>
  <si>
    <t>JFiMFGwzlc8</t>
  </si>
  <si>
    <t>WORK STARTED WITH GREAT SPEED AT TIKEKARWADI RAILWAY STATION | PUSHKAR KHAMITKAR</t>
  </si>
  <si>
    <t>nfFmQEiNhSU</t>
  </si>
  <si>
    <t>Ajni - Pune Vande Bharat Route Map</t>
  </si>
  <si>
    <t>RvgzXKagCQc</t>
  </si>
  <si>
    <t>Derailed Vande Bharat Rescued by Alco at Pune Junction</t>
  </si>
  <si>
    <t>aQAbviCuUd4</t>
  </si>
  <si>
    <t>Best Seat in Two Tier AC | Solapur - Hassan Superfast Express</t>
  </si>
  <si>
    <t>tR4Hv2VNe80</t>
  </si>
  <si>
    <t>FIRST LHB RUN OF MAS LTT EXPRESS | DEPARTURE FROM SOLAPUR | PUSHKAR KHAMITKAR</t>
  </si>
  <si>
    <t>rYG6UDiAOws</t>
  </si>
  <si>
    <t>ROB LATEST UPDATE | MAXIMUM HEIGHT FOR E-LOCOS | FINAL SOLUTION | NEW ROB | PUSHKAR KHAMITKAR</t>
  </si>
  <si>
    <t>QnFu0c_Wvi4</t>
  </si>
  <si>
    <t>UDYAN EXPRESS ARRIVAL AT AKKALKOT ROAD RAILWAY STATION | 01302 SBC CSMT EXPRESS | PUSHKAR KHAMITKAR</t>
  </si>
  <si>
    <t>d9MeUkPsZZ8</t>
  </si>
  <si>
    <t>High Speed trail between Hotgi - Solapur with Crs inspection | Kalyan Wap-7 | Pushkar Khamitkar</t>
  </si>
  <si>
    <t>wAmnxH1zvk0</t>
  </si>
  <si>
    <t>TRAIN PASSING FROM ROB | MAS LTT EXPRESS DEPARTING FROM SOLAPUR RAILWAY STATION |PUSHKAR KHAMITKAR</t>
  </si>
  <si>
    <t>tiS1uZoKQ5o</t>
  </si>
  <si>
    <t>Solapur Railway Station New look &amp; New Entrance | Amrit Bharat Station Scheme Redevelopment</t>
  </si>
  <si>
    <t>Sf0WyZduHeo</t>
  </si>
  <si>
    <t>RACING WITH  DIESEL LOCOMOTIVE WDP4D</t>
  </si>
  <si>
    <t>armPlVdPTMs</t>
  </si>
  <si>
    <t>12158 : Solapur - Pune Hutatma Express Journey | RPM WAP-7 | Pushkar Khamitkar</t>
  </si>
  <si>
    <t>EuG0AZ-m6tI</t>
  </si>
  <si>
    <t>Solapur to Vijayapura E-loco journey | BZA WAP-4 | Rc - Bjp Passenger | Pushkar Khamitkar</t>
  </si>
  <si>
    <t>5rdeJgNYHY8</t>
  </si>
  <si>
    <t>SOLAPUR, BALE, TIKEKARWADI ELECTRIFICATION STATUS UPDATE | PUSHKAR KHAMITKAR</t>
  </si>
  <si>
    <t>p1DSPfXdTKw</t>
  </si>
  <si>
    <t>Midnight railfanning at Solapur | Jaipur Yeshvantpur Suvidha Express arrival | Pushkar Khamitkar</t>
  </si>
  <si>
    <t>UsH-3b4cFQ4</t>
  </si>
  <si>
    <t>Ahmedabad Mumbai Vande Bharat Express Journey | Executive class Journey | Pushkar Khamitkar</t>
  </si>
  <si>
    <t>mnsJSOgtHUQ</t>
  </si>
  <si>
    <t>POLES ERECTION WORK AT TIKEKARWADI | SOLAPUR - KALBURGI ELECTRIFICATION | PUSHKAR KHAMITKAR</t>
  </si>
  <si>
    <t>JOS8y7Gs10Y</t>
  </si>
  <si>
    <t>SOLAPUR OUTER BRIDGE UPDATE , ISSUES AND SOLUTIONS | PUSHKAR KHAMITKAR</t>
  </si>
  <si>
    <t>DUOlicRPZ0E</t>
  </si>
  <si>
    <t>Visakhapatnam express with E-loco from Solapur | 1st Icf train to get e-loco | Pushkar Khamitkar</t>
  </si>
  <si>
    <t>NX1uhmc-Ar0</t>
  </si>
  <si>
    <t>PANTOGRAPH TESTING AND LATEST ELECTRIFICATION UPDATE OF SOLAPUR RAILWAY STATION OUTERS, KAMBAR TALAV</t>
  </si>
  <si>
    <t>0NaRqrewldM</t>
  </si>
  <si>
    <t>BRACKETS INSTALLED | HOTGI ELECTRIFICATION STATUS UPDATE | PUSHKAR KHAMITKAR</t>
  </si>
  <si>
    <t>Z59_ucOLPTA</t>
  </si>
  <si>
    <t>Pakni , Bale , Solapur Electrification Status | Mohol - Solapur Electrification | Pushkar Khamitkar</t>
  </si>
  <si>
    <t>lQ-ZtKT7qAo</t>
  </si>
  <si>
    <t>Pune to Mumbai Train Journey in Udyan Express</t>
  </si>
  <si>
    <t>n_nhJ3Ryeo4</t>
  </si>
  <si>
    <t>SOLAPUR RAILWAY STATION LATEST ELECTRIFICATION UPDATE | PUSHKAR KHAMITKAR</t>
  </si>
  <si>
    <t>hDb3FOt5kmA</t>
  </si>
  <si>
    <t>Udyan Express arrival at Ganagapur Road with Pune Wdp4d &amp; Kalyan Wap7 | Pushkar Khamitkar</t>
  </si>
  <si>
    <t>zlUY6jRWXEQ</t>
  </si>
  <si>
    <t>Tiruvananthapuram - Mumbai CSMT Express with KJM Wap-7 | Pushkar Khamitkar</t>
  </si>
  <si>
    <t>W5oQrZp2g5c</t>
  </si>
  <si>
    <t>Pune ( Swargate ) - Kolhapur MSRTC new Electric Shivai Bus | Journey &amp; Timings</t>
  </si>
  <si>
    <t>t_JwRQ7DYgY</t>
  </si>
  <si>
    <t>22222 : H.Nizzamuddin - Mumbai CSMT Push - Pull Rajdhani Express with 2 Wap-7 locomotive</t>
  </si>
  <si>
    <t>px2PsGA43x0</t>
  </si>
  <si>
    <t>LATEST ELECTRIFICATION UPDATE ONBAORD UDYAN EXPRESS | TIKEKARWADI TO SOLAPUR | PUSHKAR KHAMITKAR</t>
  </si>
  <si>
    <t>-3aEqEBTxz4</t>
  </si>
  <si>
    <t>ELECTRIFIED KURUDWADI JN. RAILWAY STATION | SOLAPURRAILWAYDIVISION | PUSHKAR KHAMITKAR</t>
  </si>
  <si>
    <t>faZA3FG6Dgg</t>
  </si>
  <si>
    <t>GOODS LOCOMOTIVE WITH UDYAN EXPRESS | OFF LINK WDG4D AND WDG4 |PUSHKAR KHAMITKAR</t>
  </si>
  <si>
    <t>Dzl9Vk-sTOY</t>
  </si>
  <si>
    <t>Bhalwani - Bhigwan doubling status | Latest updates as in September | Pushkar Khamitkar</t>
  </si>
  <si>
    <t>5KVjBPAGp2g</t>
  </si>
  <si>
    <t>Line doubling work between Washimbe and Parewadi | Solapur Pune Doubling status | Pushkar Khamitkar</t>
  </si>
  <si>
    <t>JHowD6SkUYU</t>
  </si>
  <si>
    <t>Mohol - Mundhewadi Latest Electrification update | Mohol Solapur Electrification | Pushkar Khamitkar</t>
  </si>
  <si>
    <t>9_BL6jh2Cus</t>
  </si>
  <si>
    <t>SOLAPUR RAILWAY STATION ELECTRIFICATION STATUS UPDATE | SOLAPUR ELECTRIFICATION | PUSHKAR KHAMITKAR</t>
  </si>
  <si>
    <t>B41jjviKR2k</t>
  </si>
  <si>
    <t>KARNATAKA SAMPARK KRANTI EXPRESS ARRIVING SOLAPUR AND SNAKE CURVE CAPTURE | PUSHKAR KHAMITKAR</t>
  </si>
  <si>
    <t>kmskJ1Qq51U</t>
  </si>
  <si>
    <t>LATEST ELECTRIFICATION AND DOUBLING UPDATES FROM GADAG TO HOLE ALUR IN SWR | PUSHKAR KHAMITKAR</t>
  </si>
  <si>
    <t>AA2Byc4ocMI</t>
  </si>
  <si>
    <t>TRACK LOWERING WORK AT SOLAPUR ROB BRIDGE | SOLAPUR ELECTRIFICATION | PUSHKAR KHAMITKAR</t>
  </si>
  <si>
    <t>fzaX5ebwYas</t>
  </si>
  <si>
    <t>11139 : Mumbai Csmt - Gadag Express Crossings and Overtakes | Solapur - Gadag | Pushkar Khamitkar</t>
  </si>
  <si>
    <t>krH8uiPqUQk</t>
  </si>
  <si>
    <t>Wag-9 powering Vijaypura - Raichur Passenger departing from Tikekarwadi | Pushkar Khamitkar</t>
  </si>
  <si>
    <t>NGoCFTysvIA</t>
  </si>
  <si>
    <t>NEW 3AC TEJAS COACHES | SLEEPER COACHES | PUSHKAR KHAMITKAR</t>
  </si>
  <si>
    <t>vyJmv_ciYK4</t>
  </si>
  <si>
    <t>WAG 7 Twins Low Bridge Clearance | Solapur Railway Station | Pushkar Khamitkar</t>
  </si>
  <si>
    <t>jdBmcgqL-p8</t>
  </si>
  <si>
    <t>Bagalkot - Vijaypura Line Electrification and Doubling updates | Pushkar Khamitkar</t>
  </si>
  <si>
    <t>H7z_51AxgCk</t>
  </si>
  <si>
    <t>Solapur - Pune Late Night Superfast Train Journey in Hospete - Mumbai CSMT Express</t>
  </si>
  <si>
    <t>8jx7Xdp9_rs</t>
  </si>
  <si>
    <t>FIRST RUN OF PRAYAGRAJ - SOLAPUR SPECIAL EXPRESS ARRIVING AT SOLAPUR | PUSHKAR KHAMITKAR</t>
  </si>
  <si>
    <t>5HFFPclr_ac</t>
  </si>
  <si>
    <t>Maiden LHB run of Gol Gumbaz Express from Solapur | UBL OG Cab Wdp4 in lead | Pushkar Khamitkar</t>
  </si>
  <si>
    <t>djLSM9TmKF8</t>
  </si>
  <si>
    <t>DUDHANI - SOLAPUR LATEST ELECTRIFICATION UODATES | SOLAPUR - WADI ELECTRIFICATON | PUSHKAR KHAMITKAR</t>
  </si>
  <si>
    <t>v3g7V5tKRrk</t>
  </si>
  <si>
    <t>High priority trains skipping Tikekarwadi | Karnataka Express | Chennai Ltt express | Basava Express</t>
  </si>
  <si>
    <t>B2NFboUZcJ8</t>
  </si>
  <si>
    <t>Orange Vande Bharat Express towards Pune / Mumbai | #saffronvandebharat #vandebharatexpress</t>
  </si>
  <si>
    <t>52EhB1uEszU</t>
  </si>
  <si>
    <t>POLES ERECTED | SOLAPUR ELECTRIFICATION STATUS UPDATE | PUSHKAR KHAMITKAR</t>
  </si>
  <si>
    <t>utt0k1HXHd8</t>
  </si>
  <si>
    <t>SHATABDI EXPRESS ARRIVING AND DEPARTING FROM SOLAPUR JN</t>
  </si>
  <si>
    <t>H2qeYH_eQJ8</t>
  </si>
  <si>
    <t>4 in 1 | Electric Loco Compailation from and to Solapur Railway Station | Pushkar Khamitkar</t>
  </si>
  <si>
    <t>kQhCph2SntI</t>
  </si>
  <si>
    <t>WAP-7 Speedster of Indian Railways | #dhurandhar</t>
  </si>
  <si>
    <t>a_oJJiixkW4</t>
  </si>
  <si>
    <t>CAMERA UNDER THE TRAIN | à¤Ÿà¥à¤°à¥‡à¤¨ à¤•à¥‡ à¤¨à¤¿à¤šà¥‡ à¤•à¥ˆà¤®à¤°à¤¾ | PUSHKAR KHAMITKAR</t>
  </si>
  <si>
    <t>2ggc3z1wljs</t>
  </si>
  <si>
    <t>WIRING UPDATE OF HOTGI JUNCTION RAILWAY STATION | WADI - DAUND ELECTRIFICATION | PUSHKAR KHAMITKAR</t>
  </si>
  <si>
    <t>hgIbKc6boGU</t>
  </si>
  <si>
    <t>30 STATION SKIPS | ELECTRIFICATION PUNE - SOLAPUR UPDATES  | PUNE - BBS EXPRESS | PUSHKAR KAHMITKAR</t>
  </si>
  <si>
    <t>_rOH9ahlpcs</t>
  </si>
  <si>
    <t>Hyderabad to Solapur Flight Journey in Fly-91â€™s Brand New Atr-72 600</t>
  </si>
  <si>
    <t>FZ3ddIm4SE8</t>
  </si>
  <si>
    <t>1st run of 11418 : Solapur - Pune Passenger with Hwh Wap-5 departing Solapur | Pushkar Khamitkar</t>
  </si>
  <si>
    <t>yajvD1t4HdM</t>
  </si>
  <si>
    <t>Solapur - Pandharpur Journey Ashadi Special DEMU Journey | Full Journey | Pushkar Khamitkar</t>
  </si>
  <si>
    <t>H44jGJGts9w</t>
  </si>
  <si>
    <t>ELECTRIC LOCO AT HOTGI JUNCTION | VIJAYWADA WAG 7 | NEW ERA | PUSHKAR KHAMITKAR</t>
  </si>
  <si>
    <t>H7CrmxkQk1k</t>
  </si>
  <si>
    <t>Newly Innaugrated Ruby Hall Clinic - Ramwadi Pune Metro Ride , Pune Metro</t>
  </si>
  <si>
    <t>BnQS2pCfsaE</t>
  </si>
  <si>
    <t>Close look at Deccan Queen | Pune Danapur rake Departure from Solapur | Pushkar Khamitkar</t>
  </si>
  <si>
    <t>vXbuKekDAv0</t>
  </si>
  <si>
    <t>Inaugural run of Cape - Pune Jayanti Janta Express | Pushkar Khamitkar</t>
  </si>
  <si>
    <t>XrkIbKYH_IY</t>
  </si>
  <si>
    <t>Shunting and Announcement of Vande Bharat Express at Kolhapur Railway Station</t>
  </si>
  <si>
    <t>vrH22yw88RM</t>
  </si>
  <si>
    <t>Pune - Mumbai Vistadome Journey via Bhor Ghats : Deccan Queen Express : Monsoon Special</t>
  </si>
  <si>
    <t>rK0NDWlXcME</t>
  </si>
  <si>
    <t>Solapur Railway Station Redevelopment , Amrit Bharat Scheme à¤…à¤®à¥ƒà¤¤ à¤­à¤¾à¤°à¤¤ à¤…à¤‚à¤¤à¤°à¥à¤—à¤¤ à¤¸à¥‹à¤²à¤¾à¤ªà¥à¤° à¤°à¥‡à¤²à¥à¤µà¥‡ à¤¸à¥à¤Ÿà¥‡à¤¶à¤¨</t>
  </si>
  <si>
    <t>IVjCJEYUABU</t>
  </si>
  <si>
    <t>Solapur Hotgi CRS Special departing Tikekarwadi | Pushkar Khamitkar</t>
  </si>
  <si>
    <t>GsAdQWUx6tQ</t>
  </si>
  <si>
    <t>Pune Metro #punemetro #pune #mahametro #maharashtra</t>
  </si>
  <si>
    <t>98AKoGCUmvw</t>
  </si>
  <si>
    <t>MAS LTT AND HUMSAFAR EXPRESS XING IN SOLAPUR ALCO + EMD ACTION | PUSHKAR KHAMITKAR</t>
  </si>
  <si>
    <t>XCLLM8-cqeU</t>
  </si>
  <si>
    <t>HAPPY BIRTHDAY INDIAN RAILWAYS ðŸ›¤  | 168 YEARS OF GLORY AND SERVICES #Shorts | PUSHKAR KHAMITKAR</t>
  </si>
  <si>
    <t>_0OklnAIkLU</t>
  </si>
  <si>
    <t>Mumbai - Solapur Vande Bharat Express inauguration ceremony at Pune Junction | Pushkar Khamitkar</t>
  </si>
  <si>
    <t>EmWH5XCB0QU</t>
  </si>
  <si>
    <t>Pune to Solapur Journey in Short Originated Mumbai - Hospete Express | Land slide and Red Alert</t>
  </si>
  <si>
    <t>OsJ61uksizU</t>
  </si>
  <si>
    <t>SOLAPUR - VIJAPUR FULL JOURNEY | BASAVA EXPRESS | REPOSTED | PUSHKAR KHAMITKAR</t>
  </si>
  <si>
    <t>oFOyR7DG1Qw</t>
  </si>
  <si>
    <t>Lingampalli to Solapur Journey behind BZA WAP-4 in Visakhapatnam - LTT Express | Pushkar Khamitkar</t>
  </si>
  <si>
    <t>sePQo37lMyU</t>
  </si>
  <si>
    <t>OLD RAILWAY STATION | TIKEKARWADI METRE GAUGE RAILWAY STATION | HOSTORIC RAILWAY | PUSHKAR KHAMITKAR</t>
  </si>
  <si>
    <t>dJRZJvMWU6Q</t>
  </si>
  <si>
    <t>BRACKET INSTALLATION WORK BETWEEN HOTGI AND SOLAPUR | SOLAPUR ELECTRIFICATION | PUSHKAR KHAMITKAR</t>
  </si>
  <si>
    <t>eC28gsaUYpc</t>
  </si>
  <si>
    <t>Solapur - Mumbai Monsoon special journey through Bhor Ghats in Udyan Express | Pushkar Khamitkar</t>
  </si>
  <si>
    <t>cKAbDFr2Iy0</t>
  </si>
  <si>
    <t>Vande Bharat Express Cabin view</t>
  </si>
  <si>
    <t>FLbJ3V9g5lc</t>
  </si>
  <si>
    <t>Solapur - Mumbai Flight Take-off from Solapur Airport #solapurairport #solapur #starair</t>
  </si>
  <si>
    <t>JQqdKktrscI</t>
  </si>
  <si>
    <t>Flood like situation in Pune | Mutha River Overflow | Deccan Gymkhana Metro Station</t>
  </si>
  <si>
    <t>Qdb8xozruAU</t>
  </si>
  <si>
    <t>SOLAPUR - TIKEKARWADI - HOTGI ELECTRIFICATION STATUS UPDATE | PUSHKAR KHAMITKAR</t>
  </si>
  <si>
    <t>TtOrgcen8a4</t>
  </si>
  <si>
    <t>01013 MUMBAI LOKMANYA TILAK TERMINUS COIMBATORE SPEACIAL EXPRESS WITH PIGGYBACK | PUSHKAR KHAMITKAR</t>
  </si>
  <si>
    <t>R8XZZXvnOBY</t>
  </si>
  <si>
    <t>WIRING IN SOLAPUR BRIDGE ROB SECTION | SOLAPUR ELECTRIFICATION UPDATE | PUSHKAR KHAMITKAR</t>
  </si>
  <si>
    <t>V0EbjlU7h54</t>
  </si>
  <si>
    <t>Fly-91 Flight at Solapur Airport | Goa &amp; Hyderabad Service</t>
  </si>
  <si>
    <t xml:space="preserve"> -CfAejkxVP4</t>
  </si>
  <si>
    <t>Mas - Ltt Express overtakes Hassan Express At Tikekarwadi Railway Station | Pushkar Khamitkar</t>
  </si>
  <si>
    <t>JDbrYBnDWRY</t>
  </si>
  <si>
    <t>Solapur Railway Station getting ready for CRS inspection | Pushkar Khamitkar</t>
  </si>
  <si>
    <t>mYz4F4FnYCI</t>
  </si>
  <si>
    <t>WIRING DONE AT SOLAPUR RAILWAY STATION | ALL LINES UNDER WIRES |  PUSHKAR KHAMITKAR</t>
  </si>
  <si>
    <t>WF8sb8SrVuA</t>
  </si>
  <si>
    <t>MOHOL - SOLAPUR ELECTRIFICATION STATUS UPDATE AS OF FEBRUARY | PUSHKAR KHAMITKAR</t>
  </si>
  <si>
    <t>fzvVEUjvv_c</t>
  </si>
  <si>
    <t>ELECTRIC LOCO KANPUR WAG-7 DEPARTING FROM HOTGI TOWARDS KALBURGI | PUSHKAR KHAMITKAR</t>
  </si>
  <si>
    <t>_OdtpnkTUZ8</t>
  </si>
  <si>
    <t>FIRST RUN OF HUTATMA EXPRESS AFTER LOCKDOWN 2.O | SOLAPUR PUNE HUTATMA EXPRESS | PUSHKAR KHAMITKAR</t>
  </si>
  <si>
    <t>lSkQ-7W1GUg</t>
  </si>
  <si>
    <t>Mundhewadi - Pakni Electrification Status | Mohol Solapur Electrification | Pushkar Khamitkar</t>
  </si>
  <si>
    <t>UMAhZPueu7s</t>
  </si>
  <si>
    <t>Jalna - Mumbai Vande Bharat Express Innaugral Journey | Food &amp; Interiors</t>
  </si>
  <si>
    <t>FLwC7TzcTgY</t>
  </si>
  <si>
    <t>TIKEKARWADI SOLAPUR POLE INSTALLATION DETAILED VIDEO | SOLAPUR ELECTRIFICATION | PUSHKAR KHAMITKAR</t>
  </si>
  <si>
    <t>izD9x1qlmF4</t>
  </si>
  <si>
    <t>TIKEKARWADI SOLAPUR COMPLETE ELECTRIFICATION STATUS | DAUND - SOLAPUR - WADI ELECTRIFICATION</t>
  </si>
  <si>
    <t>ec81F7z5mIM</t>
  </si>
  <si>
    <t>SOLAPUR - KURUDWADI ELECTRIFICATION STATUS LATEST UPDATE| Solapur Electrification |PUSHKAR KHAMITKAR</t>
  </si>
  <si>
    <t>di3l_SS0_HM</t>
  </si>
  <si>
    <t>INDI ROAD - SOLAPUR LATEST ELECTRIFICATION STATUS | SOLAPUR ELECTRIFICATION | PUSHKAR KHAMITKAR</t>
  </si>
  <si>
    <t>2VRoM_N0P8U</t>
  </si>
  <si>
    <t>NMG RAKE ARRIVING AT SOLAPUR WITH UBL WDG4 TWINS | PUSHKAR KHAMITKAR</t>
  </si>
  <si>
    <t>vQhygziTMPw</t>
  </si>
  <si>
    <t>RARE UP AND DOWN LTT - CBE EXPRESS MEETS AT SOLAPUR RAILWAY STATION | PUSHKAR KHAMITKAR</t>
  </si>
  <si>
    <t>ldCqWCUVP1s</t>
  </si>
  <si>
    <t>FIRST RUN OF HUTATMA COVID 19 SPEACIAL| SOLAPUR - PUNE SUPERFAST SPEACIAL | PUSHKAR KHAMITKAR</t>
  </si>
  <si>
    <t>fbtjm_FeDi8</t>
  </si>
  <si>
    <t>Ac Coaches and Pantry car of Deccan Queen and Pune Danapur Express in transit | Pushkar Khamitkar</t>
  </si>
  <si>
    <t>rme8Uq_zqcY</t>
  </si>
  <si>
    <t>Solapur Pune Electrification Status from Solapur Mohol Section | Pushkar Khamitkar</t>
  </si>
  <si>
    <t>qa5lp2gUpRI</t>
  </si>
  <si>
    <t>DUDHANI TO HOTGI CRS INSPECTION COMPLETED TODAY | CRS INSPECTION CAR SPOTTED | PUSHKAR KHAMITKAR</t>
  </si>
  <si>
    <t>_fplZjmIys4</t>
  </si>
  <si>
    <t>Aerodynamic Wap-7 of Indian Railways #indianrailways #wap7</t>
  </si>
  <si>
    <t>AeNloozn8j4</t>
  </si>
  <si>
    <t>SOLAPUR HOTGI LATEST ELECTRIFICATION STATUS UPDATE AS OF JUNE 2021 | DAUND WADI | PUSHKAR KHAMITKAR</t>
  </si>
  <si>
    <t>CyH3lP2KZkA</t>
  </si>
  <si>
    <t>CHUGGING MAULA ALI WDG-3A TWINS WITH LTT - SC DURONTO EXPRESS AT SNAKE CURVE | PUSHKAR KHAMITKAR</t>
  </si>
  <si>
    <t>y0FRVd8lChA</t>
  </si>
  <si>
    <t>1st Lhb run of 18520 Ltt - Visakhapatnam Superfast Express | Pushkar Khamitkar</t>
  </si>
  <si>
    <t>VDiHVYeyiYM</t>
  </si>
  <si>
    <t>Bilimora - Waghai Narrow Gauge Railway | Loco View #indianrailways #narrowgauge</t>
  </si>
  <si>
    <t>TD76U8xaWWw</t>
  </si>
  <si>
    <t>Electric loco at Malikpeth | Hotgi - Solapur CRS | Pushkar Khamitkar</t>
  </si>
  <si>
    <t>kCILh0DnTN4</t>
  </si>
  <si>
    <t>SOLAPUR GADAG JOURNEY | PART 1 - SOLAPUR - VIJAYAPURA | CSMT GADAG EXPRESS | PUSHKAR KHAMITKAR</t>
  </si>
  <si>
    <t>RF0mJ8vM0GU</t>
  </si>
  <si>
    <t>BOROTI TRAIN ROBBERY INCIDENT | DAKAITI | DARODA |PUSHKAR KHAMITKAR</t>
  </si>
  <si>
    <t>Jj2Ti-oneMM</t>
  </si>
  <si>
    <t>HOTGI JUNCTION ELECTRIFICATION | LOCO TRAILS DONE | SOLAPUR WADI ELECTRIFICATION | PUSHKAR KHAMITKAR</t>
  </si>
  <si>
    <t>vjXFtttESq4</t>
  </si>
  <si>
    <t>UP LINE ELECTRIFICATION STATUS OF HOTGI - SOLAPUR LINE | SOLAPUR ELECTRIFICATION | PUSHKAR KHAMITKAR</t>
  </si>
  <si>
    <t>d7kA_GgMMWQ</t>
  </si>
  <si>
    <t>1st Run of Bidar - Yesvantpur weekly special Express via Kalaburgi | Innaugral Special Run</t>
  </si>
  <si>
    <t>U08JBlOkxDs</t>
  </si>
  <si>
    <t>HOTGI - SOLAPUR ELECTRIFICATION VLOG | SOLAPUR ELECTRIFICATION UPDATE | PUSHKAR KHAMITKAR</t>
  </si>
  <si>
    <t>Qb3hYi2hhPs</t>
  </si>
  <si>
    <t>WIRING WORK UPDATE OF SOLAPUR RAILWAY STATION | SOLAPUR ELECTRIFICATION UPDATE | PUSHKAR KHAMITKAR</t>
  </si>
  <si>
    <t>vJ79ENzvdO8</t>
  </si>
  <si>
    <t>Karnataka Express completes 45 glorious years of Service | E-loco capture | Pushkar Khamitkar</t>
  </si>
  <si>
    <t>TU_A2n-Y2x8</t>
  </si>
  <si>
    <t>Solapur Vande Bharat Express accelerating at Solapur Outers | Pushkar Khamitkar</t>
  </si>
  <si>
    <t>9HSFfyj-7G8</t>
  </si>
  <si>
    <t>WIRING STARTED IN TIKEKARWADI - SOLAPUR SECTION | ELECTRIFICATION STATUS UPDATE | PUSHKAR KHAMITKAR</t>
  </si>
  <si>
    <t>Zm2krVxAi8c</t>
  </si>
  <si>
    <t>Basava Express Journey | Solapur - Indi Road | Solapur - Vijaypura line | Pushkar Khamitkar</t>
  </si>
  <si>
    <t>ixFZsFEFKqo</t>
  </si>
  <si>
    <t>BEST Electric AC Double Decker Bus on A-138 Route #mumbai #best #doubledecker #bestbus #marinedrive</t>
  </si>
  <si>
    <t>2fREZ3tmH8A</t>
  </si>
  <si>
    <t>07429 Ltt - Nanded Express end to end Journey with Maula Ali Alco Twins | Pushkar Khamitkar</t>
  </si>
  <si>
    <t>rvhYpZRgXZk</t>
  </si>
  <si>
    <t>HIGH SPEED SKIPS OF EXPRESS TRAINS | KARNATAKA, MAS-LTT, BASAVA, LTT-CBE EXPRESS | PUSHKAR KHAMITKAR</t>
  </si>
  <si>
    <t>ewPBAbE6h-o</t>
  </si>
  <si>
    <t>ELECTRIC LOCO ON HOTGI - VIJAYPUR LINE | LUDHIANA WAG-9 HC | PUSHKAR KHAMITKAR</t>
  </si>
  <si>
    <t>QqegfFqMF38</t>
  </si>
  <si>
    <t>KAZIPET WAG-9 HC TWINS DECOUPLING AT HOTGI JUNCTION | ELECTRIC LOCO AT HOTGI | PUSHKAR KHAMITKAR</t>
  </si>
  <si>
    <t>ek7Em1sD2Rc</t>
  </si>
  <si>
    <t>ILAHI | INDIAN RAILWAYS | PUSHKAR KHAMITKAR | #Shorts</t>
  </si>
  <si>
    <t>l9nqXzlyPqs</t>
  </si>
  <si>
    <t>FIRST ELECTRIC LOCO RUN OF LTT - VISAKHAPATNAM EXPRESS WITH PIGGYBACK SYSTEM | PUSHKAR KHAMITKAR</t>
  </si>
  <si>
    <t>OjmU2BmGOqg</t>
  </si>
  <si>
    <t>Hutatma Express with new 3AC and Sleeper coaches | Solapur Hutatma Express new coach Composition</t>
  </si>
  <si>
    <t>W-tuiO5aDYE</t>
  </si>
  <si>
    <t>SOLAPUR HASSAN EXPRESS GETS NEW UTKRISHT COACHES</t>
  </si>
  <si>
    <t>lL6ftgSgxrQ</t>
  </si>
  <si>
    <t>01024 : Kolhapur - Pune Sahyadri Express 1st run with WCAM-3</t>
  </si>
  <si>
    <t>8OrJxoo2vQ0</t>
  </si>
  <si>
    <t>Vande Bharat Express xing with Siddeshwar Express at Solapur outer curve | Pushkar Khamitkar</t>
  </si>
  <si>
    <t>fEH0ZzkohrE</t>
  </si>
  <si>
    <t>Diverted Banglore - Jodhpur Express with UBL Wdp-4 , OG cab locomotive  | Pushkar Khamitkar</t>
  </si>
  <si>
    <t>ZVEjbLs2vVY</t>
  </si>
  <si>
    <t>Nagpur - Pune Vande Bharat Express overtakes Gitanjali Express #indianrailways #vandebharatexpress</t>
  </si>
  <si>
    <t>bO3FnNNWNjU</t>
  </si>
  <si>
    <t>Udyan Express crossing Hyderabad Superfast Express</t>
  </si>
  <si>
    <t>vBI54nFzdwQ</t>
  </si>
  <si>
    <t>PAKNI STATION ELECTRIFICATION STATUS | SOLAPUR MOHOL ELECTRIFICATION | PUSHKAR KHAMITKAR</t>
  </si>
  <si>
    <t>zkl2ajyJnY4</t>
  </si>
  <si>
    <t>BEAUTIFUL HOTGI OUTER CURVE | BASAVA EXPRESS | HOTGI ARRIVAL | UBL WDP4 | PUSHKAR KHAMITKAR</t>
  </si>
  <si>
    <t>HDxDaV06MS0</t>
  </si>
  <si>
    <t>Solapur Railway Station on Evening of REPUBLIC DAY | PUSHKAR KHAMITKAR</t>
  </si>
  <si>
    <t>TZ6fbNlqzEU</t>
  </si>
  <si>
    <t>Pune Metro Kalyani Nagar | Aqua Line #punemetro</t>
  </si>
  <si>
    <t>tdNR3ZtqHs8</t>
  </si>
  <si>
    <t>Kalaburagi - Kolhapur Superfast Express via Solapur, Pandharpur</t>
  </si>
  <si>
    <t>n2Ij7Bs7r9s</t>
  </si>
  <si>
    <t>Emergency Siren ðŸš¨ ringing loud at Solapur Railway Station | Night secne | Pushkar Khamitkar</t>
  </si>
  <si>
    <t>3Ipit_IpoUM</t>
  </si>
  <si>
    <t>HOTGI JUNCTION ELECTRIFICATION STATUS UPDATE | PUSHKAR KHAMITKAR</t>
  </si>
  <si>
    <t>_bewHRr-lQo</t>
  </si>
  <si>
    <t>Special Misal- pav Breakfast in Vande Bharat Express | #vandebharatexpress</t>
  </si>
  <si>
    <t>w33GDq4trV0</t>
  </si>
  <si>
    <t>Pune - Chatrapati Sambhajinagar MSRTC's new Electric E-Shivai Bus | Pushkar Khamitkar</t>
  </si>
  <si>
    <t>jYlZjFx9Daw</t>
  </si>
  <si>
    <t>ALCO TWINS | UDYAN EXPRESS WITH PUNE WDM-3D TWINS DEPARTING FROM HOTGI | PUSHKAR KHAMITKAR</t>
  </si>
  <si>
    <t>xfKhW4j8iUQ</t>
  </si>
  <si>
    <t>WIRING COMPLETED AT TIKEKARWADI RAILWAY STATION | ELECTRIFICATION STATUS UPDATE | PUSHKAR KHAMITKAR</t>
  </si>
  <si>
    <t>4-f9flt3JN4</t>
  </si>
  <si>
    <t>16 Car Saffron Vande Bharat for Ahmedabad - Mumbai reverse Vande Bharat</t>
  </si>
  <si>
    <t>mSST_AkTuqw</t>
  </si>
  <si>
    <t>01301 UDYAN EXPRESS SKIPPING HOTGI JUNCTION | PUNE WDP4D AND ERODE WAP-7 | PUSHKAR KHAMITKAR</t>
  </si>
  <si>
    <t>zvDll6w6BZY</t>
  </si>
  <si>
    <t>SIDDESHWAR SUPERFAST EXPRESS ARRIVING AT SOLAPUR | SOLAPUR ROB VIEW | PUSHKAR KHAMITKAR</t>
  </si>
  <si>
    <t>J4vg2Ze0Mn0</t>
  </si>
  <si>
    <t>New Electric Era Karnataka Express without Piggyback in Solapur - Daund Section | Pushkar Khamitkar</t>
  </si>
  <si>
    <t>gEpvEWXE7LQ</t>
  </si>
  <si>
    <t>HASSAN SOLAPUR EXPRESS ARRIVAL WITH UNIQUE ANNOUNCEMENTS AT SOLAPUR STATION | PUSHKAR KHAMITKAR</t>
  </si>
  <si>
    <t>ry4vPXyKOkU</t>
  </si>
  <si>
    <t>RAKE IN TRANSIT | PUNE ALCO IN LEAD WITH MUMBAI HYDERABAD SPECIAL | PUSHKAR KHAMITKAR</t>
  </si>
  <si>
    <t>K6zpwpf_mRA</t>
  </si>
  <si>
    <t>Pune Wdm-3d twins with 02164 Mas  Ltt Festival Special | Departure from Solapur | Pushkar Khamitkar</t>
  </si>
  <si>
    <t>GlQYqsVLKQk</t>
  </si>
  <si>
    <t>90% POLES INSTALLATION DONE AT TIKEKARWADI RAILWAY STATION | ELECTRIFICATION | PUSHKAR KHAMITKAR</t>
  </si>
  <si>
    <t>ZLeXlygCPK0</t>
  </si>
  <si>
    <t>5 IN 1 | DURONTO, KK, MAS-LTT, SKIPPING HOTGI JN | BASAVA AND LTT CBE EXPRESS | PUSHKAR KHAMITKAR</t>
  </si>
  <si>
    <t xml:space="preserve"> --G3MuY8308</t>
  </si>
  <si>
    <t>HASSAN SOLAPUR EXPRESS SKIPPING HOTGI JN. | PUSHKAR KHAMITKAR</t>
  </si>
  <si>
    <t>Mkiru9YJuvc</t>
  </si>
  <si>
    <t>Almatti dam line doubling updates | Solapur - Gadag line | Pushkar Khamitkar</t>
  </si>
  <si>
    <t>JxtchxEA5Rk</t>
  </si>
  <si>
    <t>Wadi - Solapur Demu | Pushkar Khamitkar</t>
  </si>
  <si>
    <t>W68n0-bB0Z0</t>
  </si>
  <si>
    <t>Bharat Gaurav tourist train innaugral , grand celebration at Pune | Pushkar Khamitkar</t>
  </si>
  <si>
    <t>1XuxmW2FTOU</t>
  </si>
  <si>
    <t>ARRIVAL OF BASAVA EXPRESS AT SOLAPUR RAILWAY STATION WITH UBLE WDP4D | PUSHKAR KHAMITKAR</t>
  </si>
  <si>
    <t>JcxX0L0aPYY</t>
  </si>
  <si>
    <t>Deccan Gymkhana Metro Station New Bridge | #punemetro #pune</t>
  </si>
  <si>
    <t>NsUHZvoLyjY</t>
  </si>
  <si>
    <t>Overnight Journey from Solapur to Pune onboard Pune - BBS Weekly Express | Pushkar</t>
  </si>
  <si>
    <t>4YPPR8T-NFQ</t>
  </si>
  <si>
    <t>Surprise !! Hutatma Express with E-loco | Itarsi Wag-9 in lead | Pushkar Khamitkar</t>
  </si>
  <si>
    <t>MMxPNY1unMM</t>
  </si>
  <si>
    <t>Pune Metro Ride in Heavy Rain | Mula-Mutha River overflow</t>
  </si>
  <si>
    <t>yfS90LFRD2U</t>
  </si>
  <si>
    <t>KINGFISHER WDM-3A WITH LTT - SC DURONTO EXPRESS DEPARTING FROM SOLAPUR | PUSHKAR KHAMITKAR</t>
  </si>
  <si>
    <t>m6Ij7OAlRls</t>
  </si>
  <si>
    <t>Solapur - Mumbai Vande Bharat with Brand new Orange Rake</t>
  </si>
  <si>
    <t>jmUc8qgI3Jc</t>
  </si>
  <si>
    <t>POLES NEAR SOLAPUR | SOLAPUR - WADI ELECTRIFICATION UPDATE | PUSHKAR KHAMITKAR</t>
  </si>
  <si>
    <t>QqVb-TRyxYw</t>
  </si>
  <si>
    <t>SKIPPING DAUND JUNCTION ONBOARD PUNE BBS WEEKLY SUPERFAST EXPRESS | PUSHKAR KHAMITKAR</t>
  </si>
  <si>
    <t>oTWefGppdmU</t>
  </si>
  <si>
    <t>Ramwadi - Vanaz Aqua Line Metro ride | Pune Metro</t>
  </si>
  <si>
    <t>Bia4nS6kgQw</t>
  </si>
  <si>
    <t>KALYAN WCAM 2 TWINS WITH GOODS TRAIN AT PAREWADI HEADING TOWARDS KURUDWADI | PUSHKAR KHAMITKAR</t>
  </si>
  <si>
    <t>qGWs-WQL5YA</t>
  </si>
  <si>
    <t>HOLE ALUR - BAGALKOT ELECTRIFICATION AND DOUBLING UPDATES | JULY 2021 | PUSHKAR KHAMITKAR</t>
  </si>
  <si>
    <t>HMBWPEor3NQ</t>
  </si>
  <si>
    <t>Open Deck Double Decker Bus in Mumbai at Marine Drive | #doubledecker #mumbai #bestbus</t>
  </si>
  <si>
    <t>ocLwHSui92g</t>
  </si>
  <si>
    <t xml:space="preserve">Brand New 20 Car Orange Rake for Solapur - Mumbai Vande Bharat Express </t>
  </si>
  <si>
    <t>OF_nRWB5BsE</t>
  </si>
  <si>
    <t>Pune Metro - Purple Line #pune #punemetro</t>
  </si>
  <si>
    <t>mErUH7PmSFY</t>
  </si>
  <si>
    <t>FINALLY ! WIRING STARTED AT TIKEKARWADI STATION | DAUND WADI ELECTRIFICATION | PUSHKAR KHAMITKAR</t>
  </si>
  <si>
    <t>GS8PS_W21MM</t>
  </si>
  <si>
    <t>Unique Railway Station of Indian Railways | Kudgi Railway Station | Pushkar Khamitkar</t>
  </si>
  <si>
    <t>hO0LxTYuiTk</t>
  </si>
  <si>
    <t>SUR - MYS SPEACIAL EXPRESS LEAD BY WDP4D | PUSHKAR KHAMITKAR</t>
  </si>
  <si>
    <t>GoacISOBCu8</t>
  </si>
  <si>
    <t>12157 Hutatma Express Journey with E-loco WCAM-3 | Pune - Solapur Journey | Pushkar Khamitkar</t>
  </si>
  <si>
    <t>pSB48zvnqBg</t>
  </si>
  <si>
    <t>4 hours delayed | Coimbatore - Ltt Express departing Solapur | Pushkar Khamitkar</t>
  </si>
  <si>
    <t>KHRkpLhm3JQ</t>
  </si>
  <si>
    <t>01140 | Gadag Express Departure from Solapur Railway Station | Kalyan Wdm-3d | Pushkar Khamitkar</t>
  </si>
  <si>
    <t>TfbVtqH4-g4</t>
  </si>
  <si>
    <t>PUNE WDM-3D AND VSKP WAP7 WITH 02164 MAS - LTT EXPRESS | PUSHKAR KHAMITKAR</t>
  </si>
  <si>
    <t>keWjtLupi_c</t>
  </si>
  <si>
    <t>KARNATAKA EXPRESS AT SOLAPUR OUTER CURVE | PUSHKAR KHAMITKAR</t>
  </si>
  <si>
    <t>mhduezNx1MA</t>
  </si>
  <si>
    <t>Jhansi Wap4 visits Solapur with Ltt - Cbe Express as Piggyback | Pushkar Khamitkar</t>
  </si>
  <si>
    <t>ZGf00-QmuXk</t>
  </si>
  <si>
    <t>HOTGI - TADWAL SECTION | AHERWADI RAILWAY STATION ELECTRIFICATION | PUSHKAR KHAMITKAR</t>
  </si>
  <si>
    <t>xGZpE7tHEFA</t>
  </si>
  <si>
    <t>BEAUTIFUL INDI ROAD RAILWAY STATION | CLEAN STATION OF SOUTH WESTERN RAILWAYS | PUSHKAR KHAMITKAR</t>
  </si>
  <si>
    <t>lti41Kjud3w</t>
  </si>
  <si>
    <t>Bagalkot Pure Diesel Section | Electrification and Doubling Updates | Pushkar Khamitkar</t>
  </si>
  <si>
    <t>Hc5AFaK5PVw</t>
  </si>
  <si>
    <t>LATEST ELECTRIFICATION UPDATE OF TIKEKARWADI RAILWAY STATION | PUSHKAR KHAMITKAR</t>
  </si>
  <si>
    <t>oTBhZ5F6E9I</t>
  </si>
  <si>
    <t>12164 MAS - LTT Express overtakes 11312 Hassan - Solapur Superfast Express at Tikekarwadi</t>
  </si>
  <si>
    <t>WrkEUrkiqII</t>
  </si>
  <si>
    <t>PART 2 VIJAYPURA TO BAGALKOT | SOLAPUR GADAG JOURNEY IN CSMT GADAG EXPRESS | PUSHKAR KHAMITKAR</t>
  </si>
  <si>
    <t>fMTw0M2mODI</t>
  </si>
  <si>
    <t>Pune - Hubballi Vande Bharat Express Cabin View | #vandebharatexpress</t>
  </si>
  <si>
    <t>kQrwuCq62g0</t>
  </si>
  <si>
    <t>Garware College - Pune Station - Ruby Hall Clinic Metro Ride | Pune Metro</t>
  </si>
  <si>
    <t>O8udtDwE1xE</t>
  </si>
  <si>
    <t>Vande Bharat Express departing from Pune Junction | 2nd rake for CR | Pushkar Khamitkar</t>
  </si>
  <si>
    <t>jMSe5zor6Y8</t>
  </si>
  <si>
    <t>22156 : Kolhapur - Kalaburagi Express arriving at Solapur Railway Station</t>
  </si>
  <si>
    <t>B5V5gas-AA0</t>
  </si>
  <si>
    <t>First E-loco run of Basava Express and Traction change to Diesel at Solapur | Pushkar Khamitkar</t>
  </si>
  <si>
    <t>TAru2xTk9F4</t>
  </si>
  <si>
    <t>Ltt - Cbe Express departure from Solapur railway station | Pushkar Khamitkar</t>
  </si>
  <si>
    <t>SP64BPJdRKw</t>
  </si>
  <si>
    <t>Pamban Bridge | Indiaâ€™s longest sea bridge towards Rameshwaram</t>
  </si>
  <si>
    <t>9WVQq6AJWr0</t>
  </si>
  <si>
    <t>LATEST ELECTRIFICATION STATUS OF BALE RAILWAY STATION AS OF AUGUST 2021 | PUSHKAR KHAMITKAR</t>
  </si>
  <si>
    <t>K_uuedCpNC0</t>
  </si>
  <si>
    <t>1st end to end E-loco run of Indore - Lingampalli Humsafar Express | BRC WAP-5 | Pushkar Khamitkar</t>
  </si>
  <si>
    <t>Pzg1oiVrPdk</t>
  </si>
  <si>
    <t>CXCsyuQwwHs</t>
  </si>
  <si>
    <t>UDYAN EXPRESS SKIPPING TIKEKARWADI AT HIGH SPEED WITH PUNE WDP-4D AND AJNI WAP-7 | PUSHKAR KHAMITKAR</t>
  </si>
  <si>
    <t>IYbkKWzv6YQ</t>
  </si>
  <si>
    <t>MSRTC Electric Shivai Bus on Solapur - Pune Route</t>
  </si>
  <si>
    <t>2thpBBn7r5M</t>
  </si>
  <si>
    <t>Shatabdi livery Wap-4 with MYS - BGK Basava Express arrives Solapur | Pushkar Khamitkar</t>
  </si>
  <si>
    <t>QxhctfgffLQ</t>
  </si>
  <si>
    <t>HOW BIG POLES \ OHE MASTS ARE CARRIED FOR INSTALLATION ? SOLAPUR ELECTRIFICATION | PUSHKAR KHAMIKAR</t>
  </si>
  <si>
    <t>uLGxHpzPeW8</t>
  </si>
  <si>
    <t>"WAM-4" livered "WAP-4" Leads Vijaypura - Raichur Passenger | Pushkar Khamitkar</t>
  </si>
  <si>
    <t>uZ4G8iEOPMY</t>
  </si>
  <si>
    <t>Koyna Express with WCAM-3 crossing with New LHB Deccan Queen | Pushkar Khamitkar</t>
  </si>
  <si>
    <t>84FTNZ6LZRY</t>
  </si>
  <si>
    <t>Solapur Railway Station Redevelopment | Ramwadi side entrance | Amrit Station Scheme</t>
  </si>
  <si>
    <t>LKzM_Wzu3RA</t>
  </si>
  <si>
    <t>High Speed Skip | Pune Secunderabad Shatabdi Express smashes Tikekarwadi | Pushkar Khamitkar</t>
  </si>
  <si>
    <t>p-zqDexAPd8</t>
  </si>
  <si>
    <t>SXSsFiKlL-s</t>
  </si>
  <si>
    <t>Ramling Railway Station remains of Barsi Light Railway</t>
  </si>
  <si>
    <t>eHKnp6J1Nxs</t>
  </si>
  <si>
    <t>LAST ICF RUN OF MAS LTT SUPERFAST EXPRESS | VALSAD WAP4 AND PUNE WDP4D | PUSHKAR KHAMITKAR</t>
  </si>
  <si>
    <t>NZqQp8kP3SQ</t>
  </si>
  <si>
    <t>UDYAN EXPRESS ON TIKEKARWADI OUTER CURVE | PUSHKAR KHAMITKAR</t>
  </si>
  <si>
    <t>9K1ygiig884</t>
  </si>
  <si>
    <t>Shatabdi Express Arriving at Solapur Railway Station</t>
  </si>
  <si>
    <t>Rjny2QNkG-8</t>
  </si>
  <si>
    <t>Pune Secunderabad Shatabdi Bird Eye View | #shatabdiexpress #indianrailways</t>
  </si>
  <si>
    <t>R_az8etePdE</t>
  </si>
  <si>
    <t>Newly Electrified Tilati Railway Station | Electrification Completed | Pushkar Khamitkar</t>
  </si>
  <si>
    <t>x6P9q7l0umw</t>
  </si>
  <si>
    <t>LALAGUDA WAP-7 WITH 01302 UDYAN EXPRESS | SKIPPING TIKEKARWADI | PUSHKAR KHAMITKAR</t>
  </si>
  <si>
    <t>48LA8QZENnU</t>
  </si>
  <si>
    <t>KONARK EXPRESS ARRIVAL AT HOTGI JUNCTION RAILWAY STATION | PUSHKAR KHAMITKAR</t>
  </si>
  <si>
    <t>e0I-FpNdeKA</t>
  </si>
  <si>
    <t>Indore - Udhana Vande Bharat Express rake in transit via Solapur - Pune #vandebharatexpress</t>
  </si>
  <si>
    <t>FNvv4EvaC8U</t>
  </si>
  <si>
    <t>CROSSING NAGERCOIL EXPRESS AT JINTI ROAD RAILWAY STATION | PUSHKAR KHAMITKAR</t>
  </si>
  <si>
    <t>yMBeYWmV6y4</t>
  </si>
  <si>
    <t>1st Run of Daund - Kalaburagi Diwali Special Express</t>
  </si>
  <si>
    <t>nEkj3ZfxmIA</t>
  </si>
  <si>
    <t>Solapur - Hotgi Electrification updates | Solapur Division Electrification Status| Pushkar Khamitkar</t>
  </si>
  <si>
    <t>S9FYEtxLrLk</t>
  </si>
  <si>
    <t>12124 Deccan Queen Express 1st LHB Journey | Pune to Mumbai Journey | Pushkar Khamitkar</t>
  </si>
  <si>
    <t>XI2zknI78EM</t>
  </si>
  <si>
    <t>KARAIKAL LTT EXPRESS SKIPPING TIKEKARWADI WITH KALYAN WDP4D | PUSHKAR KHAMITKAR</t>
  </si>
  <si>
    <t>HZ2zoBzu6UA</t>
  </si>
  <si>
    <t>HIGH SPEED SKIP OF KONARK EXPRESS AT HOTGI JUNCTION</t>
  </si>
  <si>
    <t>6J1-FTXJWCI</t>
  </si>
  <si>
    <t>TIKEKARWADI BRACKET INSTALLATION PROCESS STARTED | TIKEKARWADI SOLAPUR ELECTRIFICATION UPDATE</t>
  </si>
  <si>
    <t>VAdTaI0KXK8</t>
  </si>
  <si>
    <t>Humsafar Express journey from Solapur to Lingampalli | Ratlam Alco Twins | Pushkar khamitkar</t>
  </si>
  <si>
    <t>4evSmX78pMs</t>
  </si>
  <si>
    <t>2 in 1 | Raichur - Bijapur - Raichur Passengers arriving at Hotgi Jn. | Pushkar Khamitkar</t>
  </si>
  <si>
    <t>xdRgjZyAqr0</t>
  </si>
  <si>
    <t>SUPERFAST MAS - LTT EXPRESS SKIPPING HOTGI JUNCTION WITHOUT PIGGYBACK | PUSHKAR KHAMITKAR</t>
  </si>
  <si>
    <t>PB2COVEgguE</t>
  </si>
  <si>
    <t>PART 3 BAGALKOT TO GADAG | SOLAPUR - GADAG JOURNEY IN CSMT _ GADAG EXPRESS | PUSHKAR KHAMITKAR</t>
  </si>
  <si>
    <t>lD1-213RYlk</t>
  </si>
  <si>
    <t>1st Electric traction run of Mumbai - Solapur Siddeshwar Spuerfast Express | Pushkar Khamitkar</t>
  </si>
  <si>
    <t>YIOFPnKVnpc</t>
  </si>
  <si>
    <t>Shindawane Ghats Latest Doubling and Electrification Status</t>
  </si>
  <si>
    <t>Fh_2XkUQHQw</t>
  </si>
  <si>
    <t>Pune gets new aesthetic metro bridge ðŸ¤©ðŸ¤© #pune #punemetro</t>
  </si>
  <si>
    <t>dciTlEQ5vMM</t>
  </si>
  <si>
    <t>21 Years of Service | 12157/58 Hutatma Express Birthday Departure from Solapur | Pushkar Khamitkar</t>
  </si>
  <si>
    <t>JyPXqSNn7s8</t>
  </si>
  <si>
    <t>16532 Garib Nawaz Express with Tuglakabad Celebrity Wdp-4d | Pushkar Khamitkar</t>
  </si>
  <si>
    <t>85viDSsPbFA</t>
  </si>
  <si>
    <t>PARALLEL RACE AT PUNE JUNCTION | PUNE BBS EXPRESS VS KARNATAKA SAMPARKRANTI | PUSHKAR KHAMITKAR</t>
  </si>
  <si>
    <t>vHOsLpatOvM</t>
  </si>
  <si>
    <t>UDYAN EXPRESS AND SIDDESHWAR EXPRESS NEW LHB RAKES || PUSHKAR KHAMITKAR</t>
  </si>
  <si>
    <t>KuPfJJGk_lw</t>
  </si>
  <si>
    <t>KONARK EXPRESS SKIPPING TIKEKARWADI AT MPS | HIGH SPEED | PUSHKAR KHAMITKAR</t>
  </si>
  <si>
    <t>uoz8cn-YPm4</t>
  </si>
  <si>
    <t>ELECTRIFICATION UPDATE | POLES ERECTED AT HOTGI JN. | PUSHKAR KHAMITKAR</t>
  </si>
  <si>
    <t>Kot3D3O0lCk</t>
  </si>
  <si>
    <t>TIKEKARWADI RAILWAY STATION ELECTRIFICATION STATUS UPDATE | SOLAPUR - WADI | PUSHKAR KHAMITKAR</t>
  </si>
  <si>
    <t>JrebX40xytQ</t>
  </si>
  <si>
    <t>Pune Metro | Chh. Sambhaji Udyan to Deccan Gymkhana</t>
  </si>
  <si>
    <t>v7O7xdRWrps</t>
  </si>
  <si>
    <t>KP Waterfalls from Deccan Queen Vistadome</t>
  </si>
  <si>
    <t>wQseYLnYlGc</t>
  </si>
  <si>
    <t>2 Piggyback Locomotives for 1 train | Rare case | Pushkar Khamitkar</t>
  </si>
  <si>
    <t>tb_-VYxi7MM</t>
  </si>
  <si>
    <t>Low Bridge Clearance of RPM WAP-7 leading Jayanti Janata Express | Pushkar Khamitkar</t>
  </si>
  <si>
    <t>f6qsAeuWnUI</t>
  </si>
  <si>
    <t>BZA WDG-3A TWINS CURVING AT JULE SOLAPUR WITH PUNE BBS WEEKLY SUPERFAST EXPRESS | PUSHKAR KHAMITKAR</t>
  </si>
  <si>
    <t>C5-qoz2DKAU</t>
  </si>
  <si>
    <t>BHIMA RIVER BRIDGE THIRD LINE UPDATE LATEST STATUS | PUSHKAR KHAMITKAR</t>
  </si>
  <si>
    <t>hQn5u2xsURw</t>
  </si>
  <si>
    <t>Solapur - Gadag Express departs Tikekarwadi with Pune Wdm-3a</t>
  </si>
  <si>
    <t>UctOGwjGUt4</t>
  </si>
  <si>
    <t>01433 : Solapur - Nagpur Express departing from Solapur with Ajni Wag-9 | Pushkar Khamitkar</t>
  </si>
  <si>
    <t>crVcUYYT_S0</t>
  </si>
  <si>
    <t>Tiger face WAG-7 at Solapur Railway Station | Ludhina Wag-7 | LDH | Pushkar Khamitkar</t>
  </si>
  <si>
    <t>Ji2Juzh1FtQ</t>
  </si>
  <si>
    <t>Pune Wdm3d + Valsad Wag-7 skipping Mohol Railway Station with NMG | Pushkar Khamitkar</t>
  </si>
  <si>
    <t>ChwrGwGbZSE</t>
  </si>
  <si>
    <t>Konark Express skipping Kurudwadi Junction and crossing with Visakhapatnam - Ltt Express</t>
  </si>
  <si>
    <t>o1AXwtVSU-E</t>
  </si>
  <si>
    <t>MGR Chennai Central - Mumbai LTT weekly Express first End to End electric run without Piggyback</t>
  </si>
  <si>
    <t>tl98YQQTWvQ</t>
  </si>
  <si>
    <t>Almatti Dam view and Horseshoe curve of SWR in diesel territory | Pushkar Khamitkar</t>
  </si>
  <si>
    <t>PVnrnSZJlfA</t>
  </si>
  <si>
    <t>Solapur Vande Bharat New Orange Rake | #indianrailways #vandebharatexpress</t>
  </si>
  <si>
    <t>az3ICs34Omg</t>
  </si>
  <si>
    <t>Heavily smoking alco twins with Hadapsar - Hyderabad Express | Pushkar Khamitkar</t>
  </si>
  <si>
    <t>ce6CJjoXdBg</t>
  </si>
  <si>
    <t>ACCIDENT JUST AVOIDED | CHENNAI CENTRAL - AHMEDABAD EXPRESS DEPARTING SOLAPUR | PUSHKAR KHAMITKAR</t>
  </si>
  <si>
    <t>ywCqFHGssIU</t>
  </si>
  <si>
    <t>Crossing Garibrath Express onboard Mumbai Local | Jabalpur Garibrath | Pushkar Khamitkar</t>
  </si>
  <si>
    <t>6QPPpp-gSHE</t>
  </si>
  <si>
    <t>Electrification update of Kulem Railway Station | Hubballi Division | Pushkar Khamitkar</t>
  </si>
  <si>
    <t>VqtZlA3vD5Q</t>
  </si>
  <si>
    <t>BRACK INSTALLATION IN TIKEKARWADI SOLAPUR SECTION | SOLAPUR ELECTRIFICATION | PUSHKAR KHAMITKAR</t>
  </si>
  <si>
    <t>hrBG9N5qeA4</t>
  </si>
  <si>
    <t>UDL ( Andal ) Wdg-3a with Madhurai Ftr Special Express | Pushkar Khamitkar</t>
  </si>
  <si>
    <t>GTSJwuUXJGE</t>
  </si>
  <si>
    <t>Pune Vande Bharat Express departing Belagavi</t>
  </si>
  <si>
    <t>THhL_ZkBvk0</t>
  </si>
  <si>
    <t>Pune to Mumbai Journey in Deccan Queen Express | Ghat section and Station skips | Pushkar Khamitkar</t>
  </si>
  <si>
    <t>8GZDgZt-AWY</t>
  </si>
  <si>
    <t>Tiruchirappalli - Ahmedabad Junction Special Express | Pushkar Khamitkar</t>
  </si>
  <si>
    <t>7_MNWX4yq2c</t>
  </si>
  <si>
    <t>1st Lhb run of 22159 : Mumbai - ChennaiSuperfast Express | Mumbai - Amritsar Express</t>
  </si>
  <si>
    <t>zVnZN-ei0tY</t>
  </si>
  <si>
    <t>LADIES ASSISTANT LOCO PILOT WITH FRIEGHT TRAIN AT SOLAPUR RAILWAY STATION | PUSHKAR KHAMITKAR</t>
  </si>
  <si>
    <t>4kgDvcvvELI</t>
  </si>
  <si>
    <t>HUTATMA EXPRESS TO START FROM 1JULY | SIDDESHWAR , HASSAN AND GADAG EXPRESS ALSO SET TO START</t>
  </si>
  <si>
    <t>TO4uKymG54o</t>
  </si>
  <si>
    <t>7+ Hours late running Hassan Solapur Superfast Express | Pushkar Khamitkar</t>
  </si>
  <si>
    <t>04XBeNPnJO8</t>
  </si>
  <si>
    <t>Pune Metro Ã— Indian Railways | #punemetro #mahametro</t>
  </si>
  <si>
    <t>Fv52mjWmrF8</t>
  </si>
  <si>
    <t>KARNATAKA EXPRESS SKIPPING PAKNI RAILWAY STATION AT HIGH SPEED | PUSHKAR KHAMITKAR</t>
  </si>
  <si>
    <t>udlwBeFWhvA</t>
  </si>
  <si>
    <t>Tricolor Alco Locomotive | Indore - Lingampalli Humsafar Express | Pushkar Khamitkar</t>
  </si>
  <si>
    <t>T-6rXRymPs0</t>
  </si>
  <si>
    <t>UDYAN EXPRESS ACCELERATING TOWARDS TIKEKARWADI TO MAKE WAY FOR OXYGEN EXPRESS | PUSHKAR KHAMITKAR</t>
  </si>
  <si>
    <t>XnMk7LA4S3g</t>
  </si>
  <si>
    <t>Hotgi bypass line and Ntpc line Electrification latest update | Pushkar Khamitkar</t>
  </si>
  <si>
    <t>wBSUTV5435w</t>
  </si>
  <si>
    <t>Solapur Outer Bridge | March 2026 Update</t>
  </si>
  <si>
    <t>ViGP3u_c_0E</t>
  </si>
  <si>
    <t>ICF + LHB Coaches in One train | Karaikal - Ltt Express with Kalyan Wdg-3a Twins | Pushkar Khamitkar</t>
  </si>
  <si>
    <t>oYYxulhxR68</t>
  </si>
  <si>
    <t>AC Three Tier Economy Coach Interiors | Indian Railways</t>
  </si>
  <si>
    <t>y8GScMX_zg8</t>
  </si>
  <si>
    <t>Mas - Ltt goes Electric | End to end , No Piggyback | Itarsi Wap-7 |Pushkar Khamitkar</t>
  </si>
  <si>
    <t>M0ftnDn1RI0</t>
  </si>
  <si>
    <t>Vande Bharat Express at high speed with amazing track sound at Talegaon | Pushkar Khamitkar</t>
  </si>
  <si>
    <t>XuOHWjFK0ls</t>
  </si>
  <si>
    <t>Pune Bbs Express skipping Ganagapurroad led by BZA Wdg-3a twins| PUSHKAR KHAMITKAR</t>
  </si>
  <si>
    <t>_8xt3MCO68g</t>
  </si>
  <si>
    <t>Haldiram's Wap-7 with Raichur - Vijaypura  Passenger | Train of offlinks | Pushkar Khamitkar</t>
  </si>
  <si>
    <t>ihnzMOD65ls</t>
  </si>
  <si>
    <t>Fastest train from Mumbai to Hyderabad | Duronto Express</t>
  </si>
  <si>
    <t>WZzh_y2N-4s</t>
  </si>
  <si>
    <t>REVERSE SHUNTING OF SIDDESHWAR EXPRESS IN SOLAPUR YARD | COACHING COMPLEX | PUSHKAR KHAMITKAR</t>
  </si>
  <si>
    <t>sW0O1jOV-ww</t>
  </si>
  <si>
    <t>Speedtrail CRS Special departure from Solapur | Solapur - Hotgi CRS | Pushkar Khamitkar</t>
  </si>
  <si>
    <t>jyQE5fPjUPw</t>
  </si>
  <si>
    <t>CHITTRANJAN LOCOMOTIVE WORKS</t>
  </si>
  <si>
    <t>6jD6q6s8Moo</t>
  </si>
  <si>
    <t>Chennai to Rameswaram Train Journey | 16751 Boat Mail Express via Pamban Bridge</t>
  </si>
  <si>
    <t>yOKU2Y2Rvm8</t>
  </si>
  <si>
    <t>Pune welcome India's Longest Vande Bharat Express | Ajni - Pune Vande Bharat Innaugral Special</t>
  </si>
  <si>
    <t>iQ4E9EU59aM</t>
  </si>
  <si>
    <t>Konark Express arrives Solapur with Vijaywada Wap-7 | E-loco till Solapur | Pushkar Khamitkar</t>
  </si>
  <si>
    <t>jDTFAxVqHYg</t>
  </si>
  <si>
    <t>TIKEKARWADI WIRING STATUS | DAUND WADI ELECTRIFICATION | SOLAPUR ELECTRIFICATION |PUSHKAR KHAMITKAR</t>
  </si>
  <si>
    <t>oLS9vMLFz7A</t>
  </si>
  <si>
    <t>Goad Father of Indian Railways | #godfather #12001 #train #indianrailways</t>
  </si>
  <si>
    <t>Z3Jo5K_yUAk</t>
  </si>
  <si>
    <t>Mutha River overflow | Bhide Bridge under water</t>
  </si>
  <si>
    <t>PfxMnYiVwR8</t>
  </si>
  <si>
    <t>Hardly Chugging WDG-3D Twins Arriving Solapur Railway Station with Goods Train | Pushkar Khamitkar</t>
  </si>
  <si>
    <t>o1sgf8rmRbs</t>
  </si>
  <si>
    <t>NO PROGRESS AT TIKEKARWADI RAILWAY STATION | ELECTRIFICATION STATUS | PUSHKAR KHAMITKAR</t>
  </si>
  <si>
    <t>UPIBv369ayQ</t>
  </si>
  <si>
    <t>Chapion goes Electric | Ltt Mumbai - Coimbatore Express with e-loco from and to Solapur</t>
  </si>
  <si>
    <t>hly5QH6xx60</t>
  </si>
  <si>
    <t>à¤–à¤¡à¤•à¤µà¤¾à¤¸à¤²à¤¾ à¤§à¤°à¤£à¤¾à¤¤à¥‚à¤¨ à¤ªà¤¾à¤£à¥à¤¯à¤¾à¤šà¤¾ à¤µà¤¿à¤¸à¤°à¥à¤— | Water discharge from Khadakwasala Dam</t>
  </si>
  <si>
    <t>dZGp1WjDn-Y</t>
  </si>
  <si>
    <t>Captain America livery BGKT Wdp-4d with Ksr-Bengaluru - Jodhpur Express | Pushkar Khamitkar</t>
  </si>
  <si>
    <t>IypxIBfQ7-M</t>
  </si>
  <si>
    <t>NAGERCOIL EXPRESS SHOWING OFF ITS BRAKING POWER ðŸ”‹AT  TIKEKARWADI | PUSHKAR KHAMITKAR</t>
  </si>
  <si>
    <t>5LpGTZcnivg</t>
  </si>
  <si>
    <t>Aerodynamic WAP-7 visits Pune with Goa Express</t>
  </si>
  <si>
    <t>myQ1UltdG4M</t>
  </si>
  <si>
    <t>ELECTRIFICATION STATUS OF SOLAPUR DIVISIION , TIKEKARWADI | PUSHKAR KHAMITKAR</t>
  </si>
  <si>
    <t>C6ZLyYXM8Kc</t>
  </si>
  <si>
    <t>Hutatma Express meets Indrayani Express at Pune Jn Outers</t>
  </si>
  <si>
    <t>tMS1t40p-Yw</t>
  </si>
  <si>
    <t>Vishakhapatanam Express meets Udyan express at Ganagapur Road | Pushkar Khamitkar</t>
  </si>
  <si>
    <t>95EFINSdzB8</t>
  </si>
  <si>
    <t>Hassan Express first Electric run| BZA Wap-7 arriving at Solapur Railway Station | Pushkar Khamitkar</t>
  </si>
  <si>
    <t>f31hdcVow34</t>
  </si>
  <si>
    <t>Skipping Akalkot Road onboard Ltt - Cbe special Express | Pushkar Khamitkar</t>
  </si>
  <si>
    <t>SKZyKiyEvY0</t>
  </si>
  <si>
    <t>ELECTRIFICATION WORK UPDATES | SOLAPUR OUTER | SOLAPUR - WADI ELECTRIFICATION | PUSHKAR KHAMITKAR</t>
  </si>
  <si>
    <t>N6rrpiyPzBQ</t>
  </si>
  <si>
    <t>Hutatma Express early morning departure from Solapur Railway Station | Pushkar Khamitkar</t>
  </si>
  <si>
    <t>Cqb2hS5Gv20</t>
  </si>
  <si>
    <t>0 to 130 in 100 Seconds onboard Vande Bharat Express | Semi-bullet train of Indian Railways</t>
  </si>
  <si>
    <t>gegFCd4gpYA</t>
  </si>
  <si>
    <t>50th Birthday Celebration of Siddheshwar Express | 50 Years of connecting Solapur to Mumbai</t>
  </si>
  <si>
    <t>-58c2WLSSnI</t>
  </si>
  <si>
    <t>Tungabhadra River Bridge | Hampi Hospete | Indian Railways</t>
  </si>
  <si>
    <t>fqEyDHvBvjA</t>
  </si>
  <si>
    <t>Bale Electrification Work | Work still pending | No progress | Pushkar Khamitkar</t>
  </si>
  <si>
    <t>uWZB5gw4LV8</t>
  </si>
  <si>
    <t>NAGERCOIL EXPRESSS IN ACTION WITH ALCO TWINS | PUNE WDM-3D AND KALYAN WAP-7 | PUSHKAR KHAMITKAR</t>
  </si>
  <si>
    <t>17tz0F3_hUs</t>
  </si>
  <si>
    <t>Morning departure of Chennai Mail Express from Solapur Railway Station | Pushkar Khamitkar</t>
  </si>
  <si>
    <t>T4XBrfGy--4</t>
  </si>
  <si>
    <t>DIVERTED DADAR - PONDICHERRY SEPCIAL HALTS AT TIKEKARWADI | EFFECTS OF RAINS | PUSHKAR KHAMITKAR</t>
  </si>
  <si>
    <t>SH_jmQue4ng</t>
  </si>
  <si>
    <t>BBS LTT ONE TRIP SPEACIAL WITH ET WAP-4 | FESTIVAL SPEACIAL EXPRESS | PUSHKAR KHAMITKAR</t>
  </si>
  <si>
    <t>qvgXvkcOfB8</t>
  </si>
  <si>
    <t>18000 HP leading Poorna Express towards Dudhsagar</t>
  </si>
  <si>
    <t>XlmGLnukpb4</t>
  </si>
  <si>
    <t>Vishakhapatanam - Ltt Express arrival At Solapur Railway Station | Pushkar Khamitkar</t>
  </si>
  <si>
    <t>ewzWzaucRwM</t>
  </si>
  <si>
    <t>LTT - VSKP EXPRESS | SNAKE CURVE | PUSHKAR KHAMITKAR</t>
  </si>
  <si>
    <t xml:space="preserve"> -VKGEgyywnc</t>
  </si>
  <si>
    <t>Nagpur Railway Station , Ramjhula Bridge View | #nagpur #vandebharatexpress</t>
  </si>
  <si>
    <t>W_tYcgzedwo</t>
  </si>
  <si>
    <t>Chennai Mail Skips Tikekarwadi with Wdg-3a | 22157 | Pushkar Khamitkar</t>
  </si>
  <si>
    <t>pabef3qTWWw</t>
  </si>
  <si>
    <t>LTT - SC DURANTO ARRIVAL AT SOLAPUR WITH ALCO TWINS | PUSHKAR KHAMITKAR</t>
  </si>
  <si>
    <t>J4Y0gDjAtJQ</t>
  </si>
  <si>
    <t>103 Years Old Solapur Solapur Railway Station ROB | Memories</t>
  </si>
  <si>
    <t>WWD-AfFYZU4</t>
  </si>
  <si>
    <t>Beautiful Journey in Southern India | #indianrailways #southindia</t>
  </si>
  <si>
    <t>ekBPCZlG0F0</t>
  </si>
  <si>
    <t>Independence Day Special | Tricolour Locomotive with Indore Lingampalli Humsafar | Pushkar Khamitkar</t>
  </si>
  <si>
    <t>DNMVkKog_rE</t>
  </si>
  <si>
    <t>Sunsets and Track Sounds | A Perfect Combo #indianrailways #railfanning</t>
  </si>
  <si>
    <t>JmSvlKPT2Ls</t>
  </si>
  <si>
    <t>FIRST END TO END ELECTRIC TRACTION RUN OF NAGERCOIL EXPRESS | PUSHKAR KHAMITKAR</t>
  </si>
  <si>
    <t>loatNJ0dlEs</t>
  </si>
  <si>
    <t>ELECTRIFICATION STATUS OF TIKEKARWADI | SOLAPUR DIVISION | PUSHKAR KHAMITKAR</t>
  </si>
  <si>
    <t>dd1S-OSpqXo</t>
  </si>
  <si>
    <t>Siddeshwar express with inspection car in transit towards Solapur | Pushkar Khamitkar</t>
  </si>
  <si>
    <t>sVO9JZNrrwk</t>
  </si>
  <si>
    <t>Wag-9 speedy skip at Kalburgi Railway Station with car carrier | Pushkar Khamitkar</t>
  </si>
  <si>
    <t>XFcOwF9h5C4</t>
  </si>
  <si>
    <t>110 KMPH ACTION OF UDYAN EXPRESS | 01302 | BETWEEN SOLAPUR AND KURUDWADI | PUSHKAR KHAMITKAR</t>
  </si>
  <si>
    <t>jdxqWLpmdVQ</t>
  </si>
  <si>
    <t>Rescue Mode On !! Karnataka Express Rescued by Wag-7 twins | E-loco triplets | Pushkar Khamitkar</t>
  </si>
  <si>
    <t>kDSGGBdMkN4</t>
  </si>
  <si>
    <t>Baldie of Indian Railways | Nagarsol - Kacheguda Express with Maula-ali Alco Twins at Jalna</t>
  </si>
  <si>
    <t>dyjiak1MASQ</t>
  </si>
  <si>
    <t xml:space="preserve">Nanded - Mumbai Vande Bharat Express | Route Map , Timings and Fare Details </t>
  </si>
  <si>
    <t>mR6NYC-nv18</t>
  </si>
  <si>
    <t>Journey in Mandovi Express : Food Queen : Monsoon Special Konkan Railways</t>
  </si>
  <si>
    <t>mL5NDmyBKPs</t>
  </si>
  <si>
    <t>1ST LHB RUN OF KONARK EXPRESS TRAIN NUMBER 01019 | PUSHKAR KHAMITKAR</t>
  </si>
  <si>
    <t>H9xuA0PnIgk</t>
  </si>
  <si>
    <t>POLES AT SOLAPUR RAILWAY STATION | SOLAPUR STATION ELECTRIFICATION STATUS UPDATE | PUSHKAR KHAMITKAR</t>
  </si>
  <si>
    <t>hDDr0S4ZcO4</t>
  </si>
  <si>
    <t>VATVA WDM-3A DOING SHUNTING ACTIVITIES AT TIKEKARWADI RAILWAY STATION | PUSHKAR KHAMITKAR</t>
  </si>
  <si>
    <t>0v9KsaaS5fQ</t>
  </si>
  <si>
    <t>E-Shivneri charging Station | Pune - Mumbai E-Shivneri</t>
  </si>
  <si>
    <t>nLNL0Dyk57k</t>
  </si>
  <si>
    <t>Double Decker Upper Deck view of Parallel run with AC Local | Western Railways</t>
  </si>
  <si>
    <t>UrZ2MVya2cA</t>
  </si>
  <si>
    <t>20657: SSS Hubballi Junction - Hazrat Nizamuddin Sawai Gandharva Express | Pushkar Khamitkar</t>
  </si>
  <si>
    <t>UTGjUxzlKcI</t>
  </si>
  <si>
    <t>1500th HHP LOCOMOTIVE "GAURAV" LEADING LTT VISHAKHAPATANAM EXPRESS | PUSHKAR KHAMITKAR</t>
  </si>
  <si>
    <t>bdzu9HX__cQ</t>
  </si>
  <si>
    <t>GOLGUMBAZ EXPRESS CURVING THROUGH SNAKE CURVE ðŸ | 1080P 60FPS | PUSHKAR KHAMITKAR</t>
  </si>
  <si>
    <t>qNDeElHBleo</t>
  </si>
  <si>
    <t>Vande Bharat Express arriving at Pune | 22226 : Solapur - Mumbai Vande Bharat Express</t>
  </si>
  <si>
    <t>rJhkq3n_HPA</t>
  </si>
  <si>
    <t>MADHURAI-LTT EXPRESS WITH KJM BLEED BLUE WDP4 XING WITH GOOTY ALOC WDG-3A TWINS | PUSHKAR KHAMITKAR</t>
  </si>
  <si>
    <t>F5GYLZc-P7c</t>
  </si>
  <si>
    <t>Deccan Queen Vistadome in Khandala Ghats â¤ï¸ | #mansoon #indianrailways #vistadome</t>
  </si>
  <si>
    <t>tM_L3AlV34A</t>
  </si>
  <si>
    <t>CAUVERY WAP - 7 WITH UDYAN EXPRESS | PUSHKAR KHAMITKAR</t>
  </si>
  <si>
    <t>JIrz-gIzzyE</t>
  </si>
  <si>
    <t>Karnataka Express at Beautiful Curve | Solapur outer curve | 4k 60fps | Pushkar Khamitkar</t>
  </si>
  <si>
    <t>a0gbj6cerdU</t>
  </si>
  <si>
    <t>11 years of service for Shatabdi Express | Pune - Secunderabad Shatabdi Express</t>
  </si>
  <si>
    <t>C6xG9o-66CI</t>
  </si>
  <si>
    <t>IMPORTED LOCOMOTIVE FROM CANADA WITH GOL GUMBAZ EXPRESS | PUSHKAR KHAMITKAR</t>
  </si>
  <si>
    <t>gbWvV_rKctg</t>
  </si>
  <si>
    <t>Humming Emd rolls out with Basava Express from Solapur | Pushkar Khamitkar</t>
  </si>
  <si>
    <t>ClqL-k_0pBY</t>
  </si>
  <si>
    <t>Deccan Queen Express skipping Dehu road with WCAM-3 | Pushkar Khamitkar</t>
  </si>
  <si>
    <t>Ei6s_BSjLkM</t>
  </si>
  <si>
    <t>Karnataka Express crosses Humsafar Express while departing from Solapur | Pushkar Khamitkar</t>
  </si>
  <si>
    <t>aQE6-cU-UxE</t>
  </si>
  <si>
    <t>Gol Gumbaz Express honking loud with UBL single cab Wdp-4 | Pushkar Khamitkar</t>
  </si>
  <si>
    <t>uWVvx0ttjsQ</t>
  </si>
  <si>
    <t>Beautiful Sunset on Pune - Mumbai Route in Udyan Express #indianrailways #udyanexpress #punemumbai</t>
  </si>
  <si>
    <t>o5Lw4gUkWzM</t>
  </si>
  <si>
    <t>LHF MODE TWIN WDP4 WITH GOLGUMBAZ , PURE UTKRISHT RAKE | PUSHKAR KHAMITKAR</t>
  </si>
  <si>
    <t>kpPhThFW9Zo</t>
  </si>
  <si>
    <t>MAIDEN LHB RUN OF KARNATAKA EXPRESS | PUSHKAR KHAMITKAR</t>
  </si>
  <si>
    <t>K4ERPMGSglE</t>
  </si>
  <si>
    <t>FIRST RUN OF INDORE - LINGAMPALLI HUMSAFAR AFTER LOCKDOWN | PUSHKAR KHAMITKAR</t>
  </si>
  <si>
    <t>uqTnSqg29FY</t>
  </si>
  <si>
    <t>Tilati outer skip by Konark Express | Pushkar Khamitkar</t>
  </si>
  <si>
    <t>NRmhrQjNsFk</t>
  </si>
  <si>
    <t>LTT - VSKP RESUMES ITS SERVICES WITH KALYAN WDG-3A TWINS | PUSHKAR KHAMITKAR</t>
  </si>
  <si>
    <t>S70TNMEFmtU</t>
  </si>
  <si>
    <t>Pune - Santargachi Humsafar diverted via Solapur | Kyn Wap-7</t>
  </si>
  <si>
    <t>hlL28UmLEfg</t>
  </si>
  <si>
    <t>TRAINS DELAYED DUE TO RAINS | NAGERCOIL AND GADAG EXPRESS DELAY BY 2 HOURS | PUSHKAR KHAMITKAR</t>
  </si>
  <si>
    <t>oLFrDZG5XXE</t>
  </si>
  <si>
    <t>Smoking and chugging Ratlam Alco-twins ðŸ’¥ðŸ”¥ | #indianrailways</t>
  </si>
  <si>
    <t>fg4MwFGWTKY</t>
  </si>
  <si>
    <t>Back to back Vande Bharat crossings | Goa &amp; Shirdi Vande Bharat Express</t>
  </si>
  <si>
    <t xml:space="preserve">Solapur to Hyderabad Flight Journey with Fly 91 </t>
  </si>
  <si>
    <t xml:space="preserve">Category </t>
  </si>
  <si>
    <t>Vande Bharat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</si>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</sst>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21" fontId="0" fillId="0" borderId="10" xfId="0" applyNumberFormat="1" applyBorder="1"/>
    <xf numFmtId="0" fontId="0" fillId="0" borderId="14" xfId="0" applyBorder="1"/>
    <xf numFmtId="15" fontId="0" fillId="0" borderId="10" xfId="0" applyNumberFormat="1" applyBorder="1"/>
    <xf numFmtId="0" fontId="0" fillId="0" borderId="15" xfId="0" applyBorder="1"/>
    <xf numFmtId="0" fontId="0" fillId="0" borderId="17" xfId="0" applyBorder="1"/>
    <xf numFmtId="0" fontId="18" fillId="33" borderId="15" xfId="0" applyFont="1" applyFill="1" applyBorder="1"/>
    <xf numFmtId="0" fontId="18" fillId="33" borderId="16" xfId="0" applyFont="1" applyFill="1" applyBorder="1"/>
    <xf numFmtId="0" fontId="18" fillId="33" borderId="18" xfId="0" applyFont="1" applyFill="1" applyBorder="1"/>
    <xf numFmtId="0" fontId="19" fillId="0" borderId="17" xfId="0" applyFont="1" applyBorder="1"/>
    <xf numFmtId="0" fontId="19" fillId="0" borderId="10" xfId="0" applyFont="1" applyBorder="1"/>
    <xf numFmtId="21" fontId="19" fillId="0" borderId="10" xfId="0" applyNumberFormat="1" applyFont="1" applyBorder="1"/>
    <xf numFmtId="0" fontId="0" fillId="0" borderId="19" xfId="0" applyBorder="1"/>
    <xf numFmtId="0" fontId="19" fillId="0" borderId="19" xfId="0" applyFont="1" applyBorder="1"/>
    <xf numFmtId="0" fontId="0" fillId="0" borderId="18" xfId="0" applyBorder="1"/>
    <xf numFmtId="0" fontId="0" fillId="0" borderId="20" xfId="0" applyBorder="1"/>
    <xf numFmtId="0" fontId="0" fillId="0" borderId="2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6" formatCode="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499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F0CFF-1115-4905-8FA8-FF8323FC3037}" name="Table1" displayName="Table1" ref="A1:U501" totalsRowShown="0" headerRowDxfId="7" headerRowBorderDxfId="23" tableBorderDxfId="24" totalsRowBorderDxfId="22">
  <autoFilter ref="A1:U501" xr:uid="{93AF0CFF-1115-4905-8FA8-FF8323FC3037}"/>
  <sortState xmlns:xlrd2="http://schemas.microsoft.com/office/spreadsheetml/2017/richdata2" ref="A2:U501">
    <sortCondition descending="1" ref="C1:C501"/>
  </sortState>
  <tableColumns count="21">
    <tableColumn id="1" xr3:uid="{056ABECB-3B3A-4910-9B88-578F5AB3FD3A}" name="Content" dataDxfId="21"/>
    <tableColumn id="2" xr3:uid="{11CB0E14-449D-41DF-8FED-6530BC0496D5}" name="Video title" dataDxfId="20"/>
    <tableColumn id="3" xr3:uid="{FBE1E407-70B7-4703-B2F0-EB3C19F24466}" name="Video publish time" dataDxfId="19"/>
    <tableColumn id="4" xr3:uid="{A6C88634-1637-44ED-BF69-0FFDC7D534B6}" name="Duration" dataDxfId="18"/>
    <tableColumn id="5" xr3:uid="{076AAAC3-6623-468C-86BF-6F05B668F991}" name="Average percentage viewed (%)" dataDxfId="17"/>
    <tableColumn id="10" xr3:uid="{BB8A00E7-BEA9-4C42-A45D-730BB14A3FE5}" name="Subscribers gained" dataDxfId="16"/>
    <tableColumn id="11" xr3:uid="{1885F228-AA2D-4E0D-9DA3-C699EBA891A4}" name="Subscribers lost" dataDxfId="15"/>
    <tableColumn id="12" xr3:uid="{9B5D8BB1-4216-4EDB-9744-6DCF0634CD53}" name="Likes" dataDxfId="14"/>
    <tableColumn id="13" xr3:uid="{55E4C18B-92B9-48C4-9DCD-529D579A8019}" name="Dislikes" dataDxfId="13"/>
    <tableColumn id="14" xr3:uid="{C897B623-7280-489A-9592-7C0758907AD5}" name="Likes (vs. dislikes) (%)" dataDxfId="12"/>
    <tableColumn id="15" xr3:uid="{0A7DFE39-1F75-45B3-B880-1801B1F2D6A5}" name="Shares" dataDxfId="11"/>
    <tableColumn id="16" xr3:uid="{A4C5A135-E147-4DDA-BE19-E088A2710BD9}" name="Comments added" dataDxfId="10"/>
    <tableColumn id="17" xr3:uid="{5769C107-3402-4B0E-85B9-3417D92CE204}" name="RPM (INR)" dataDxfId="9"/>
    <tableColumn id="18" xr3:uid="{A90371C0-93FF-470D-A14D-CAFCF7E5EF79}" name="YouTube Premium views" dataDxfId="8"/>
    <tableColumn id="19" xr3:uid="{A963ECB4-64AE-47E7-A5F5-805D2A1C21FF}" name="Views" dataDxfId="6"/>
    <tableColumn id="20" xr3:uid="{0719108C-3120-4193-BA7A-617B40753264}" name="Watch time (hours)" dataDxfId="5"/>
    <tableColumn id="21" xr3:uid="{FA109EBF-87DC-4FE1-A1D7-7E31F42315A8}" name="Estimated revenue (INR)" dataDxfId="4"/>
    <tableColumn id="22" xr3:uid="{3875FF89-F18B-4F83-9B83-E576F5F848C9}" name="Average view duration" dataDxfId="3"/>
    <tableColumn id="23" xr3:uid="{BB868AF7-20FA-4524-ACDB-FB9148E19BD7}" name="Impressions" dataDxfId="2"/>
    <tableColumn id="24" xr3:uid="{E61E3763-03B7-47FA-AA55-8F9ABDC88340}" name="Impressions click-through rate (%)" dataDxfId="1"/>
    <tableColumn id="25" xr3:uid="{AB76CCB9-AF4E-46B9-8E9F-2B825B39DAC7}" name="Category " dataDxfId="0">
      <calculatedColumnFormula>IF(ISNUMBER(SEARCH("Vande Bharat",Table1[[#This Row],[Video title]])),"Vande Bharat","Other")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533C-A42A-4933-B5A6-9E6C33189C2A}">
  <dimension ref="A1:Z501"/>
  <sheetViews>
    <sheetView tabSelected="1" topLeftCell="F1" workbookViewId="0">
      <selection activeCell="U68" sqref="U68"/>
    </sheetView>
  </sheetViews>
  <sheetFormatPr defaultRowHeight="14.4" x14ac:dyDescent="0.3"/>
  <cols>
    <col min="1" max="1" width="20.44140625" bestFit="1" customWidth="1"/>
    <col min="2" max="2" width="154" bestFit="1" customWidth="1"/>
    <col min="3" max="3" width="17.77734375" customWidth="1"/>
    <col min="4" max="4" width="10" customWidth="1"/>
    <col min="5" max="5" width="28.21875" customWidth="1"/>
    <col min="6" max="6" width="17.77734375" customWidth="1"/>
    <col min="7" max="7" width="15.44140625" customWidth="1"/>
    <col min="8" max="8" width="6.88671875" customWidth="1"/>
    <col min="9" max="9" width="8.88671875" customWidth="1"/>
    <col min="10" max="10" width="19.88671875" customWidth="1"/>
    <col min="11" max="11" width="8.21875" customWidth="1"/>
    <col min="12" max="12" width="17.109375" customWidth="1"/>
    <col min="13" max="13" width="11.21875" customWidth="1"/>
    <col min="14" max="14" width="22.6640625" customWidth="1"/>
    <col min="15" max="15" width="8" bestFit="1" customWidth="1"/>
    <col min="16" max="16" width="18.44140625" customWidth="1"/>
    <col min="17" max="17" width="22.5546875" customWidth="1"/>
    <col min="18" max="18" width="21" customWidth="1"/>
    <col min="19" max="19" width="12.5546875" customWidth="1"/>
    <col min="20" max="20" width="30.33203125" customWidth="1"/>
    <col min="21" max="21" width="12" bestFit="1" customWidth="1"/>
  </cols>
  <sheetData>
    <row r="1" spans="1:2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6" t="s">
        <v>23</v>
      </c>
      <c r="U1" s="1" t="s">
        <v>1023</v>
      </c>
    </row>
    <row r="2" spans="1:21" x14ac:dyDescent="0.3">
      <c r="A2" s="4" t="s">
        <v>25</v>
      </c>
      <c r="B2" s="1" t="s">
        <v>26</v>
      </c>
      <c r="C2" s="7">
        <v>46140</v>
      </c>
      <c r="D2" s="1">
        <v>833</v>
      </c>
      <c r="E2" s="1">
        <v>10.88</v>
      </c>
      <c r="F2" s="1">
        <v>251</v>
      </c>
      <c r="G2" s="1">
        <v>4</v>
      </c>
      <c r="H2" s="1">
        <v>1548</v>
      </c>
      <c r="I2" s="1">
        <v>39</v>
      </c>
      <c r="J2" s="1">
        <v>97.54</v>
      </c>
      <c r="K2" s="1">
        <v>263</v>
      </c>
      <c r="L2" s="1">
        <v>51</v>
      </c>
      <c r="M2" s="1">
        <v>18.593</v>
      </c>
      <c r="N2" s="1">
        <v>8533</v>
      </c>
      <c r="O2" s="1">
        <v>211470</v>
      </c>
      <c r="P2" s="1">
        <v>5324.0162</v>
      </c>
      <c r="Q2" s="1">
        <v>3920.0940000000001</v>
      </c>
      <c r="R2" s="5">
        <v>1.0416666666666667E-3</v>
      </c>
      <c r="S2" s="1">
        <v>2066887</v>
      </c>
      <c r="T2" s="6">
        <v>9</v>
      </c>
      <c r="U2" s="3" t="str">
        <f>IF(ISNUMBER(SEARCH("Vande Bharat",Table1[[#This Row],[Video title]])),"Vande Bharat","Other")</f>
        <v>Vande Bharat</v>
      </c>
    </row>
    <row r="3" spans="1:21" x14ac:dyDescent="0.3">
      <c r="A3" s="4" t="s">
        <v>27</v>
      </c>
      <c r="B3" s="1" t="s">
        <v>28</v>
      </c>
      <c r="C3" s="7">
        <v>45946</v>
      </c>
      <c r="D3" s="1">
        <v>1503</v>
      </c>
      <c r="E3" s="1">
        <v>15.96</v>
      </c>
      <c r="F3" s="1">
        <v>240</v>
      </c>
      <c r="G3" s="1">
        <v>6</v>
      </c>
      <c r="H3" s="1">
        <v>938</v>
      </c>
      <c r="I3" s="1">
        <v>26</v>
      </c>
      <c r="J3" s="1">
        <v>97.3</v>
      </c>
      <c r="K3" s="1">
        <v>359</v>
      </c>
      <c r="L3" s="1">
        <v>72</v>
      </c>
      <c r="M3" s="1">
        <v>52.180999999999997</v>
      </c>
      <c r="N3" s="1">
        <v>4286</v>
      </c>
      <c r="O3" s="1">
        <v>74202</v>
      </c>
      <c r="P3" s="1">
        <v>4942.9243999999999</v>
      </c>
      <c r="Q3" s="1">
        <v>3871.2649999999999</v>
      </c>
      <c r="R3" s="5">
        <v>2.7662037037037039E-3</v>
      </c>
      <c r="S3" s="1">
        <v>1060325</v>
      </c>
      <c r="T3" s="6">
        <v>5.94</v>
      </c>
      <c r="U3" s="1" t="str">
        <f>IF(ISNUMBER(SEARCH("Vande Bharat",Table1[[#This Row],[Video title]])),"Vande Bharat","Other")</f>
        <v>Other</v>
      </c>
    </row>
    <row r="4" spans="1:21" x14ac:dyDescent="0.3">
      <c r="A4" s="4" t="s">
        <v>29</v>
      </c>
      <c r="B4" s="1" t="s">
        <v>30</v>
      </c>
      <c r="C4" s="7">
        <v>44821</v>
      </c>
      <c r="D4" s="1">
        <v>3757</v>
      </c>
      <c r="E4" s="1">
        <v>3.51</v>
      </c>
      <c r="F4" s="1">
        <v>164</v>
      </c>
      <c r="G4" s="1">
        <v>11</v>
      </c>
      <c r="H4" s="1">
        <v>422</v>
      </c>
      <c r="I4" s="1">
        <v>20</v>
      </c>
      <c r="J4" s="1">
        <v>95.48</v>
      </c>
      <c r="K4" s="1">
        <v>115</v>
      </c>
      <c r="L4" s="1">
        <v>55</v>
      </c>
      <c r="M4" s="1">
        <v>17.827999999999999</v>
      </c>
      <c r="N4" s="1">
        <v>287</v>
      </c>
      <c r="O4" s="1">
        <v>50504</v>
      </c>
      <c r="P4" s="1">
        <v>1851.3586</v>
      </c>
      <c r="Q4" s="1">
        <v>900.30899999999997</v>
      </c>
      <c r="R4" s="5">
        <v>1.5162037037037036E-3</v>
      </c>
      <c r="S4" s="1">
        <v>440392</v>
      </c>
      <c r="T4" s="6">
        <v>10.65</v>
      </c>
      <c r="U4" s="1" t="str">
        <f>IF(ISNUMBER(SEARCH("Vande Bharat",Table1[[#This Row],[Video title]])),"Vande Bharat","Other")</f>
        <v>Other</v>
      </c>
    </row>
    <row r="5" spans="1:21" x14ac:dyDescent="0.3">
      <c r="A5" s="4" t="s">
        <v>318</v>
      </c>
      <c r="B5" s="1" t="s">
        <v>319</v>
      </c>
      <c r="C5" s="7">
        <v>46140</v>
      </c>
      <c r="D5" s="1">
        <v>12</v>
      </c>
      <c r="E5" s="1">
        <v>123.72</v>
      </c>
      <c r="F5" s="1">
        <v>4</v>
      </c>
      <c r="G5" s="1">
        <v>0</v>
      </c>
      <c r="H5" s="1">
        <v>91</v>
      </c>
      <c r="I5" s="1">
        <v>2</v>
      </c>
      <c r="J5" s="1">
        <v>97.85</v>
      </c>
      <c r="K5" s="1">
        <v>8</v>
      </c>
      <c r="L5" s="1">
        <v>3</v>
      </c>
      <c r="M5" s="1">
        <v>1.1499999999999999</v>
      </c>
      <c r="N5" s="1">
        <v>280</v>
      </c>
      <c r="O5" s="1">
        <v>5842</v>
      </c>
      <c r="P5" s="1">
        <v>10.637</v>
      </c>
      <c r="Q5" s="1">
        <v>2.7709999999999999</v>
      </c>
      <c r="R5" s="5">
        <v>1.6203703703703703E-4</v>
      </c>
      <c r="S5" s="1">
        <v>8220</v>
      </c>
      <c r="T5" s="6">
        <v>7.25</v>
      </c>
      <c r="U5" s="1" t="str">
        <f>IF(ISNUMBER(SEARCH("Vande Bharat",Table1[[#This Row],[Video title]])),"Vande Bharat","Other")</f>
        <v>Vande Bharat</v>
      </c>
    </row>
    <row r="6" spans="1:21" x14ac:dyDescent="0.3">
      <c r="A6" s="4" t="s">
        <v>96</v>
      </c>
      <c r="B6" s="1" t="s">
        <v>97</v>
      </c>
      <c r="C6" s="7">
        <v>46139</v>
      </c>
      <c r="D6" s="1">
        <v>17</v>
      </c>
      <c r="E6" s="1">
        <v>78.930000000000007</v>
      </c>
      <c r="F6" s="1">
        <v>10</v>
      </c>
      <c r="G6" s="1">
        <v>0</v>
      </c>
      <c r="H6" s="1">
        <v>127</v>
      </c>
      <c r="I6" s="1">
        <v>0</v>
      </c>
      <c r="J6" s="1">
        <v>100</v>
      </c>
      <c r="K6" s="1">
        <v>22</v>
      </c>
      <c r="L6" s="1">
        <v>1</v>
      </c>
      <c r="M6" s="1">
        <v>0.93300000000000005</v>
      </c>
      <c r="N6" s="1">
        <v>497</v>
      </c>
      <c r="O6" s="1">
        <v>13185</v>
      </c>
      <c r="P6" s="1">
        <v>26.4421</v>
      </c>
      <c r="Q6" s="1">
        <v>6.0919999999999996</v>
      </c>
      <c r="R6" s="5">
        <v>1.5046296296296297E-4</v>
      </c>
      <c r="S6" s="1">
        <v>12526</v>
      </c>
      <c r="T6" s="6">
        <v>8.1</v>
      </c>
      <c r="U6" s="1" t="str">
        <f>IF(ISNUMBER(SEARCH("Vande Bharat",Table1[[#This Row],[Video title]])),"Vande Bharat","Other")</f>
        <v>Vande Bharat</v>
      </c>
    </row>
    <row r="7" spans="1:21" x14ac:dyDescent="0.3">
      <c r="A7" s="4" t="s">
        <v>35</v>
      </c>
      <c r="B7" s="1" t="s">
        <v>36</v>
      </c>
      <c r="C7" s="7">
        <v>45567</v>
      </c>
      <c r="D7" s="1">
        <v>682</v>
      </c>
      <c r="E7" s="1">
        <v>24.59</v>
      </c>
      <c r="F7" s="1">
        <v>100</v>
      </c>
      <c r="G7" s="1">
        <v>1</v>
      </c>
      <c r="H7" s="1">
        <v>316</v>
      </c>
      <c r="I7" s="1">
        <v>10</v>
      </c>
      <c r="J7" s="1">
        <v>96.93</v>
      </c>
      <c r="K7" s="1">
        <v>177</v>
      </c>
      <c r="L7" s="1">
        <v>30</v>
      </c>
      <c r="M7" s="1">
        <v>48.031999999999996</v>
      </c>
      <c r="N7" s="1">
        <v>1372</v>
      </c>
      <c r="O7" s="1">
        <v>33134</v>
      </c>
      <c r="P7" s="1">
        <v>1543.2343000000001</v>
      </c>
      <c r="Q7" s="1">
        <v>1591.0650000000001</v>
      </c>
      <c r="R7" s="5">
        <v>1.9328703703703704E-3</v>
      </c>
      <c r="S7" s="1">
        <v>331303</v>
      </c>
      <c r="T7" s="6">
        <v>8.75</v>
      </c>
      <c r="U7" s="1" t="str">
        <f>IF(ISNUMBER(SEARCH("Vande Bharat",Table1[[#This Row],[Video title]])),"Vande Bharat","Other")</f>
        <v>Other</v>
      </c>
    </row>
    <row r="8" spans="1:21" x14ac:dyDescent="0.3">
      <c r="A8" s="4" t="s">
        <v>37</v>
      </c>
      <c r="B8" s="1" t="s">
        <v>38</v>
      </c>
      <c r="C8" s="7">
        <v>45564</v>
      </c>
      <c r="D8" s="1">
        <v>589</v>
      </c>
      <c r="E8" s="1">
        <v>26.98</v>
      </c>
      <c r="F8" s="1">
        <v>53</v>
      </c>
      <c r="G8" s="1">
        <v>1</v>
      </c>
      <c r="H8" s="1">
        <v>323</v>
      </c>
      <c r="I8" s="1">
        <v>5</v>
      </c>
      <c r="J8" s="1">
        <v>98.48</v>
      </c>
      <c r="K8" s="1">
        <v>243</v>
      </c>
      <c r="L8" s="1">
        <v>44</v>
      </c>
      <c r="M8" s="1">
        <v>80.438999999999993</v>
      </c>
      <c r="N8" s="1">
        <v>2302</v>
      </c>
      <c r="O8" s="1">
        <v>26829</v>
      </c>
      <c r="P8" s="1">
        <v>1184.4186999999999</v>
      </c>
      <c r="Q8" s="1">
        <v>2157.7460000000001</v>
      </c>
      <c r="R8" s="5">
        <v>1.8287037037037037E-3</v>
      </c>
      <c r="S8" s="1">
        <v>251030</v>
      </c>
      <c r="T8" s="6">
        <v>8.7200000000000006</v>
      </c>
      <c r="U8" s="1" t="str">
        <f>IF(ISNUMBER(SEARCH("Vande Bharat",Table1[[#This Row],[Video title]])),"Vande Bharat","Other")</f>
        <v>Other</v>
      </c>
    </row>
    <row r="9" spans="1:21" x14ac:dyDescent="0.3">
      <c r="A9" s="4" t="s">
        <v>824</v>
      </c>
      <c r="B9" s="1" t="s">
        <v>825</v>
      </c>
      <c r="C9" s="7">
        <v>46009</v>
      </c>
      <c r="D9" s="1">
        <v>28</v>
      </c>
      <c r="E9" s="1">
        <v>55.61</v>
      </c>
      <c r="F9" s="1">
        <v>4</v>
      </c>
      <c r="G9" s="1">
        <v>0</v>
      </c>
      <c r="H9" s="1">
        <v>31</v>
      </c>
      <c r="I9" s="1">
        <v>1</v>
      </c>
      <c r="J9" s="1">
        <v>96.88</v>
      </c>
      <c r="K9" s="1">
        <v>0</v>
      </c>
      <c r="L9" s="1">
        <v>0</v>
      </c>
      <c r="M9" s="1">
        <v>1.056</v>
      </c>
      <c r="N9" s="1">
        <v>62</v>
      </c>
      <c r="O9" s="1">
        <v>1705</v>
      </c>
      <c r="P9" s="1">
        <v>3.528</v>
      </c>
      <c r="Q9" s="1">
        <v>0.76800000000000002</v>
      </c>
      <c r="R9" s="5">
        <v>1.7361111111111112E-4</v>
      </c>
      <c r="S9" s="1">
        <v>1220</v>
      </c>
      <c r="T9" s="6">
        <v>3.36</v>
      </c>
      <c r="U9" s="1" t="str">
        <f>IF(ISNUMBER(SEARCH("Vande Bharat",Table1[[#This Row],[Video title]])),"Vande Bharat","Other")</f>
        <v>Vande Bharat</v>
      </c>
    </row>
    <row r="10" spans="1:21" x14ac:dyDescent="0.3">
      <c r="A10" s="4" t="s">
        <v>41</v>
      </c>
      <c r="B10" s="1" t="s">
        <v>1022</v>
      </c>
      <c r="C10" s="7">
        <v>46130</v>
      </c>
      <c r="D10" s="1">
        <v>1455</v>
      </c>
      <c r="E10" s="1">
        <v>16.899999999999999</v>
      </c>
      <c r="F10" s="1">
        <v>98</v>
      </c>
      <c r="G10" s="1">
        <v>1</v>
      </c>
      <c r="H10" s="1">
        <v>358</v>
      </c>
      <c r="I10" s="1">
        <v>8</v>
      </c>
      <c r="J10" s="1">
        <v>97.81</v>
      </c>
      <c r="K10" s="1">
        <v>151</v>
      </c>
      <c r="L10" s="1">
        <v>40</v>
      </c>
      <c r="M10" s="1">
        <v>56.665999999999997</v>
      </c>
      <c r="N10" s="1">
        <v>1313</v>
      </c>
      <c r="O10" s="1">
        <v>24194</v>
      </c>
      <c r="P10" s="1">
        <v>1663.5395000000001</v>
      </c>
      <c r="Q10" s="1">
        <v>1369.992</v>
      </c>
      <c r="R10" s="5">
        <v>2.8587962962962963E-3</v>
      </c>
      <c r="S10" s="1">
        <v>372498</v>
      </c>
      <c r="T10" s="6">
        <v>5.46</v>
      </c>
      <c r="U10" s="1" t="str">
        <f>IF(ISNUMBER(SEARCH("Vande Bharat",Table1[[#This Row],[Video title]])),"Vande Bharat","Other")</f>
        <v>Other</v>
      </c>
    </row>
    <row r="11" spans="1:21" x14ac:dyDescent="0.3">
      <c r="A11" s="4" t="s">
        <v>42</v>
      </c>
      <c r="B11" s="1" t="s">
        <v>43</v>
      </c>
      <c r="C11" s="7">
        <v>45655</v>
      </c>
      <c r="D11" s="1">
        <v>5123</v>
      </c>
      <c r="E11" s="1">
        <v>7.46</v>
      </c>
      <c r="F11" s="1">
        <v>120</v>
      </c>
      <c r="G11" s="1">
        <v>6</v>
      </c>
      <c r="H11" s="1">
        <v>334</v>
      </c>
      <c r="I11" s="1">
        <v>10</v>
      </c>
      <c r="J11" s="1">
        <v>97.09</v>
      </c>
      <c r="K11" s="1">
        <v>86</v>
      </c>
      <c r="L11" s="1">
        <v>35</v>
      </c>
      <c r="M11" s="1">
        <v>38.475000000000001</v>
      </c>
      <c r="N11" s="1">
        <v>892</v>
      </c>
      <c r="O11" s="1">
        <v>27056</v>
      </c>
      <c r="P11" s="1">
        <v>2871.8595</v>
      </c>
      <c r="Q11" s="1">
        <v>1040.4739999999999</v>
      </c>
      <c r="R11" s="5">
        <v>4.4212962962962964E-3</v>
      </c>
      <c r="S11" s="1">
        <v>330882</v>
      </c>
      <c r="T11" s="6">
        <v>6.85</v>
      </c>
      <c r="U11" s="1" t="str">
        <f>IF(ISNUMBER(SEARCH("Vande Bharat",Table1[[#This Row],[Video title]])),"Vande Bharat","Other")</f>
        <v>Other</v>
      </c>
    </row>
    <row r="12" spans="1:21" x14ac:dyDescent="0.3">
      <c r="A12" s="4" t="s">
        <v>44</v>
      </c>
      <c r="B12" s="1" t="s">
        <v>45</v>
      </c>
      <c r="C12" s="7">
        <v>44151</v>
      </c>
      <c r="D12" s="1">
        <v>131</v>
      </c>
      <c r="E12" s="1">
        <v>53.88</v>
      </c>
      <c r="F12" s="1">
        <v>33</v>
      </c>
      <c r="G12" s="1">
        <v>1</v>
      </c>
      <c r="H12" s="1">
        <v>109</v>
      </c>
      <c r="I12" s="1">
        <v>5</v>
      </c>
      <c r="J12" s="1">
        <v>95.61</v>
      </c>
      <c r="K12" s="1">
        <v>222</v>
      </c>
      <c r="L12" s="1">
        <v>15</v>
      </c>
      <c r="M12" s="1">
        <v>56.994</v>
      </c>
      <c r="N12" s="1">
        <v>2362</v>
      </c>
      <c r="O12" s="1">
        <v>23070</v>
      </c>
      <c r="P12" s="1">
        <v>452.3143</v>
      </c>
      <c r="Q12" s="1">
        <v>1317.2180000000001</v>
      </c>
      <c r="R12" s="5">
        <v>8.1018518518518516E-4</v>
      </c>
      <c r="S12" s="1">
        <v>80689</v>
      </c>
      <c r="T12" s="6">
        <v>18.38</v>
      </c>
      <c r="U12" s="1" t="str">
        <f>IF(ISNUMBER(SEARCH("Vande Bharat",Table1[[#This Row],[Video title]])),"Vande Bharat","Other")</f>
        <v>Other</v>
      </c>
    </row>
    <row r="13" spans="1:21" x14ac:dyDescent="0.3">
      <c r="A13" s="4" t="s">
        <v>810</v>
      </c>
      <c r="B13" s="1" t="s">
        <v>811</v>
      </c>
      <c r="C13" s="7">
        <v>45967</v>
      </c>
      <c r="D13" s="1">
        <v>52</v>
      </c>
      <c r="E13" s="1">
        <v>34.020000000000003</v>
      </c>
      <c r="F13" s="1">
        <v>1</v>
      </c>
      <c r="G13" s="1">
        <v>0</v>
      </c>
      <c r="H13" s="1">
        <v>30</v>
      </c>
      <c r="I13" s="1">
        <v>0</v>
      </c>
      <c r="J13" s="1">
        <v>100</v>
      </c>
      <c r="K13" s="1">
        <v>0</v>
      </c>
      <c r="L13" s="1">
        <v>2</v>
      </c>
      <c r="M13" s="1">
        <v>0.93700000000000006</v>
      </c>
      <c r="N13" s="1">
        <v>27</v>
      </c>
      <c r="O13" s="1">
        <v>1567</v>
      </c>
      <c r="P13" s="1">
        <v>4.1073000000000004</v>
      </c>
      <c r="Q13" s="1">
        <v>0.72599999999999998</v>
      </c>
      <c r="R13" s="5">
        <v>1.9675925925925926E-4</v>
      </c>
      <c r="S13" s="1">
        <v>2795</v>
      </c>
      <c r="T13" s="6">
        <v>6.19</v>
      </c>
      <c r="U13" s="1" t="str">
        <f>IF(ISNUMBER(SEARCH("Vande Bharat",Table1[[#This Row],[Video title]])),"Vande Bharat","Other")</f>
        <v>Vande Bharat</v>
      </c>
    </row>
    <row r="14" spans="1:21" x14ac:dyDescent="0.3">
      <c r="A14" s="4" t="s">
        <v>48</v>
      </c>
      <c r="B14" s="1" t="s">
        <v>49</v>
      </c>
      <c r="C14" s="7">
        <v>45102</v>
      </c>
      <c r="D14" s="1">
        <v>270</v>
      </c>
      <c r="E14" s="1">
        <v>21.5</v>
      </c>
      <c r="F14" s="1">
        <v>83</v>
      </c>
      <c r="G14" s="1">
        <v>0</v>
      </c>
      <c r="H14" s="1">
        <v>161</v>
      </c>
      <c r="I14" s="1">
        <v>13</v>
      </c>
      <c r="J14" s="1">
        <v>92.53</v>
      </c>
      <c r="K14" s="1">
        <v>31</v>
      </c>
      <c r="L14" s="1">
        <v>12</v>
      </c>
      <c r="M14" s="1">
        <v>13.996</v>
      </c>
      <c r="N14" s="1">
        <v>186</v>
      </c>
      <c r="O14" s="1">
        <v>20609</v>
      </c>
      <c r="P14" s="1">
        <v>332.32470000000001</v>
      </c>
      <c r="Q14" s="1">
        <v>288.40800000000002</v>
      </c>
      <c r="R14" s="5">
        <v>6.7129629629629625E-4</v>
      </c>
      <c r="S14" s="1">
        <v>148573</v>
      </c>
      <c r="T14" s="6">
        <v>12.01</v>
      </c>
      <c r="U14" s="1" t="str">
        <f>IF(ISNUMBER(SEARCH("Vande Bharat",Table1[[#This Row],[Video title]])),"Vande Bharat","Other")</f>
        <v>Other</v>
      </c>
    </row>
    <row r="15" spans="1:21" x14ac:dyDescent="0.3">
      <c r="A15" s="4" t="s">
        <v>640</v>
      </c>
      <c r="B15" s="1" t="s">
        <v>641</v>
      </c>
      <c r="C15" s="7">
        <v>45903</v>
      </c>
      <c r="D15" s="1">
        <v>31</v>
      </c>
      <c r="E15" s="1">
        <v>48.41</v>
      </c>
      <c r="F15" s="1">
        <v>4</v>
      </c>
      <c r="G15" s="1">
        <v>1</v>
      </c>
      <c r="H15" s="1">
        <v>37</v>
      </c>
      <c r="I15" s="1">
        <v>1</v>
      </c>
      <c r="J15" s="1">
        <v>97.37</v>
      </c>
      <c r="K15" s="1">
        <v>1</v>
      </c>
      <c r="L15" s="1">
        <v>0</v>
      </c>
      <c r="M15" s="1">
        <v>1.006</v>
      </c>
      <c r="N15" s="1">
        <v>44</v>
      </c>
      <c r="O15" s="1">
        <v>2248</v>
      </c>
      <c r="P15" s="1">
        <v>4.8593000000000002</v>
      </c>
      <c r="Q15" s="1">
        <v>1.073</v>
      </c>
      <c r="R15" s="5">
        <v>1.7361111111111112E-4</v>
      </c>
      <c r="S15" s="1">
        <v>5326</v>
      </c>
      <c r="T15" s="6">
        <v>6.2</v>
      </c>
      <c r="U15" s="1" t="str">
        <f>IF(ISNUMBER(SEARCH("Vande Bharat",Table1[[#This Row],[Video title]])),"Vande Bharat","Other")</f>
        <v>Vande Bharat</v>
      </c>
    </row>
    <row r="16" spans="1:21" x14ac:dyDescent="0.3">
      <c r="A16" s="4" t="s">
        <v>654</v>
      </c>
      <c r="B16" s="1" t="s">
        <v>655</v>
      </c>
      <c r="C16" s="7">
        <v>45898</v>
      </c>
      <c r="D16" s="1">
        <v>253</v>
      </c>
      <c r="E16" s="1">
        <v>25.11</v>
      </c>
      <c r="F16" s="1">
        <v>6</v>
      </c>
      <c r="G16" s="1">
        <v>0</v>
      </c>
      <c r="H16" s="1">
        <v>42</v>
      </c>
      <c r="I16" s="1">
        <v>1</v>
      </c>
      <c r="J16" s="1">
        <v>97.67</v>
      </c>
      <c r="K16" s="1">
        <v>4</v>
      </c>
      <c r="L16" s="1">
        <v>5</v>
      </c>
      <c r="M16" s="1">
        <v>18.809000000000001</v>
      </c>
      <c r="N16" s="1">
        <v>63</v>
      </c>
      <c r="O16" s="1">
        <v>1296</v>
      </c>
      <c r="P16" s="1">
        <v>22.8658</v>
      </c>
      <c r="Q16" s="1">
        <v>24.376999999999999</v>
      </c>
      <c r="R16" s="5">
        <v>7.291666666666667E-4</v>
      </c>
      <c r="S16" s="1">
        <v>13723</v>
      </c>
      <c r="T16" s="6">
        <v>7.64</v>
      </c>
      <c r="U16" s="1" t="str">
        <f>IF(ISNUMBER(SEARCH("Vande Bharat",Table1[[#This Row],[Video title]])),"Vande Bharat","Other")</f>
        <v>Vande Bharat</v>
      </c>
    </row>
    <row r="17" spans="1:21" x14ac:dyDescent="0.3">
      <c r="A17" s="4" t="s">
        <v>960</v>
      </c>
      <c r="B17" s="1" t="s">
        <v>961</v>
      </c>
      <c r="C17" s="7">
        <v>45895</v>
      </c>
      <c r="D17" s="1">
        <v>123</v>
      </c>
      <c r="E17" s="1">
        <v>45.25</v>
      </c>
      <c r="F17" s="1">
        <v>0</v>
      </c>
      <c r="G17" s="1">
        <v>0</v>
      </c>
      <c r="H17" s="1">
        <v>18</v>
      </c>
      <c r="I17" s="1">
        <v>0</v>
      </c>
      <c r="J17" s="1">
        <v>100</v>
      </c>
      <c r="K17" s="1">
        <v>3</v>
      </c>
      <c r="L17" s="1">
        <v>1</v>
      </c>
      <c r="M17" s="1">
        <v>46.749000000000002</v>
      </c>
      <c r="N17" s="1">
        <v>29</v>
      </c>
      <c r="O17" s="1">
        <v>578</v>
      </c>
      <c r="P17" s="1">
        <v>8.9368999999999996</v>
      </c>
      <c r="Q17" s="1">
        <v>27.021000000000001</v>
      </c>
      <c r="R17" s="5">
        <v>6.3657407407407413E-4</v>
      </c>
      <c r="S17" s="1">
        <v>8816</v>
      </c>
      <c r="T17" s="6">
        <v>5.23</v>
      </c>
      <c r="U17" s="1" t="str">
        <f>IF(ISNUMBER(SEARCH("Vande Bharat",Table1[[#This Row],[Video title]])),"Vande Bharat","Other")</f>
        <v>Vande Bharat</v>
      </c>
    </row>
    <row r="18" spans="1:21" x14ac:dyDescent="0.3">
      <c r="A18" s="4" t="s">
        <v>78</v>
      </c>
      <c r="B18" s="1" t="s">
        <v>79</v>
      </c>
      <c r="C18" s="7">
        <v>45889</v>
      </c>
      <c r="D18" s="1">
        <v>20</v>
      </c>
      <c r="E18" s="1">
        <v>84.06</v>
      </c>
      <c r="F18" s="1">
        <v>14</v>
      </c>
      <c r="G18" s="1">
        <v>4</v>
      </c>
      <c r="H18" s="1">
        <v>53</v>
      </c>
      <c r="I18" s="1">
        <v>7</v>
      </c>
      <c r="J18" s="1">
        <v>88.33</v>
      </c>
      <c r="K18" s="1">
        <v>41</v>
      </c>
      <c r="L18" s="1">
        <v>3</v>
      </c>
      <c r="M18" s="1">
        <v>1.05</v>
      </c>
      <c r="N18" s="1">
        <v>1491</v>
      </c>
      <c r="O18" s="1">
        <v>16579</v>
      </c>
      <c r="P18" s="1">
        <v>42.839300000000001</v>
      </c>
      <c r="Q18" s="1">
        <v>9.1449999999999996</v>
      </c>
      <c r="R18" s="5">
        <v>1.8518518518518518E-4</v>
      </c>
      <c r="S18" s="1">
        <v>59566</v>
      </c>
      <c r="T18" s="6">
        <v>7.74</v>
      </c>
      <c r="U18" s="1" t="str">
        <f>IF(ISNUMBER(SEARCH("Vande Bharat",Table1[[#This Row],[Video title]])),"Vande Bharat","Other")</f>
        <v>Vande Bharat</v>
      </c>
    </row>
    <row r="19" spans="1:21" x14ac:dyDescent="0.3">
      <c r="A19" s="4" t="s">
        <v>576</v>
      </c>
      <c r="B19" s="1" t="s">
        <v>577</v>
      </c>
      <c r="C19" s="7">
        <v>45887</v>
      </c>
      <c r="D19" s="1">
        <v>34</v>
      </c>
      <c r="E19" s="1">
        <v>49.15</v>
      </c>
      <c r="F19" s="1">
        <v>2</v>
      </c>
      <c r="G19" s="1">
        <v>0</v>
      </c>
      <c r="H19" s="1">
        <v>46</v>
      </c>
      <c r="I19" s="1">
        <v>4</v>
      </c>
      <c r="J19" s="1">
        <v>92</v>
      </c>
      <c r="K19" s="1">
        <v>1</v>
      </c>
      <c r="L19" s="1">
        <v>1</v>
      </c>
      <c r="M19" s="1">
        <v>1.1990000000000001</v>
      </c>
      <c r="N19" s="1">
        <v>97</v>
      </c>
      <c r="O19" s="1">
        <v>2227</v>
      </c>
      <c r="P19" s="1">
        <v>5.8951000000000002</v>
      </c>
      <c r="Q19" s="1">
        <v>1.431</v>
      </c>
      <c r="R19" s="5">
        <v>1.8518518518518518E-4</v>
      </c>
      <c r="S19" s="1">
        <v>5179</v>
      </c>
      <c r="T19" s="6">
        <v>5.62</v>
      </c>
      <c r="U19" s="1" t="str">
        <f>IF(ISNUMBER(SEARCH("Vande Bharat",Table1[[#This Row],[Video title]])),"Vande Bharat","Other")</f>
        <v>Vande Bharat</v>
      </c>
    </row>
    <row r="20" spans="1:21" x14ac:dyDescent="0.3">
      <c r="A20" s="4" t="s">
        <v>60</v>
      </c>
      <c r="B20" s="1" t="s">
        <v>61</v>
      </c>
      <c r="C20" s="7">
        <v>45661</v>
      </c>
      <c r="D20" s="1">
        <v>3005</v>
      </c>
      <c r="E20" s="1">
        <v>7.75</v>
      </c>
      <c r="F20" s="1">
        <v>41</v>
      </c>
      <c r="G20" s="1">
        <v>2</v>
      </c>
      <c r="H20" s="1">
        <v>152</v>
      </c>
      <c r="I20" s="1">
        <v>14</v>
      </c>
      <c r="J20" s="1">
        <v>91.57</v>
      </c>
      <c r="K20" s="1">
        <v>30</v>
      </c>
      <c r="L20" s="1">
        <v>23</v>
      </c>
      <c r="M20" s="1">
        <v>29.423999999999999</v>
      </c>
      <c r="N20" s="1">
        <v>417</v>
      </c>
      <c r="O20" s="1">
        <v>12166</v>
      </c>
      <c r="P20" s="1">
        <v>787.36770000000001</v>
      </c>
      <c r="Q20" s="1">
        <v>357.93799999999999</v>
      </c>
      <c r="R20" s="5">
        <v>2.685185185185185E-3</v>
      </c>
      <c r="S20" s="1">
        <v>118762</v>
      </c>
      <c r="T20" s="6">
        <v>8.85</v>
      </c>
      <c r="U20" s="1" t="str">
        <f>IF(ISNUMBER(SEARCH("Vande Bharat",Table1[[#This Row],[Video title]])),"Vande Bharat","Other")</f>
        <v>Other</v>
      </c>
    </row>
    <row r="21" spans="1:21" x14ac:dyDescent="0.3">
      <c r="A21" s="4" t="s">
        <v>62</v>
      </c>
      <c r="B21" s="1" t="s">
        <v>63</v>
      </c>
      <c r="C21" s="7">
        <v>46138</v>
      </c>
      <c r="D21" s="1">
        <v>291</v>
      </c>
      <c r="E21" s="1">
        <v>33.56</v>
      </c>
      <c r="F21" s="1">
        <v>22</v>
      </c>
      <c r="G21" s="1">
        <v>1</v>
      </c>
      <c r="H21" s="1">
        <v>131</v>
      </c>
      <c r="I21" s="1">
        <v>1</v>
      </c>
      <c r="J21" s="1">
        <v>99.24</v>
      </c>
      <c r="K21" s="1">
        <v>52</v>
      </c>
      <c r="L21" s="1">
        <v>7</v>
      </c>
      <c r="M21" s="1">
        <v>22.073</v>
      </c>
      <c r="N21" s="1">
        <v>313</v>
      </c>
      <c r="O21" s="1">
        <v>10478</v>
      </c>
      <c r="P21" s="1">
        <v>284.209</v>
      </c>
      <c r="Q21" s="1">
        <v>232.02</v>
      </c>
      <c r="R21" s="5">
        <v>1.1226851851851851E-3</v>
      </c>
      <c r="S21" s="1">
        <v>122663</v>
      </c>
      <c r="T21" s="6">
        <v>7.96</v>
      </c>
      <c r="U21" s="1" t="str">
        <f>IF(ISNUMBER(SEARCH("Vande Bharat",Table1[[#This Row],[Video title]])),"Vande Bharat","Other")</f>
        <v>Other</v>
      </c>
    </row>
    <row r="22" spans="1:21" x14ac:dyDescent="0.3">
      <c r="A22" s="4" t="s">
        <v>64</v>
      </c>
      <c r="B22" s="1" t="s">
        <v>65</v>
      </c>
      <c r="C22" s="7">
        <v>44285</v>
      </c>
      <c r="D22" s="1">
        <v>1862</v>
      </c>
      <c r="E22" s="1">
        <v>9.3699999999999992</v>
      </c>
      <c r="F22" s="1">
        <v>47</v>
      </c>
      <c r="G22" s="1">
        <v>4</v>
      </c>
      <c r="H22" s="1">
        <v>179</v>
      </c>
      <c r="I22" s="1">
        <v>9</v>
      </c>
      <c r="J22" s="1">
        <v>95.21</v>
      </c>
      <c r="K22" s="1">
        <v>29</v>
      </c>
      <c r="L22" s="1">
        <v>23</v>
      </c>
      <c r="M22" s="1">
        <v>4.7590000000000003</v>
      </c>
      <c r="N22" s="1">
        <v>108</v>
      </c>
      <c r="O22" s="1">
        <v>11197</v>
      </c>
      <c r="P22" s="1">
        <v>542.7654</v>
      </c>
      <c r="Q22" s="1">
        <v>53.289000000000001</v>
      </c>
      <c r="R22" s="5">
        <v>2.0138888888888888E-3</v>
      </c>
      <c r="S22" s="1">
        <v>208127</v>
      </c>
      <c r="T22" s="6">
        <v>3.04</v>
      </c>
      <c r="U22" s="1" t="str">
        <f>IF(ISNUMBER(SEARCH("Vande Bharat",Table1[[#This Row],[Video title]])),"Vande Bharat","Other")</f>
        <v>Other</v>
      </c>
    </row>
    <row r="23" spans="1:21" x14ac:dyDescent="0.3">
      <c r="A23" s="4" t="s">
        <v>66</v>
      </c>
      <c r="B23" s="1" t="s">
        <v>67</v>
      </c>
      <c r="C23" s="7">
        <v>45511</v>
      </c>
      <c r="D23" s="1">
        <v>4318</v>
      </c>
      <c r="E23" s="1">
        <v>9.99</v>
      </c>
      <c r="F23" s="1">
        <v>54</v>
      </c>
      <c r="G23" s="1">
        <v>1</v>
      </c>
      <c r="H23" s="1">
        <v>164</v>
      </c>
      <c r="I23" s="1">
        <v>12</v>
      </c>
      <c r="J23" s="1">
        <v>93.18</v>
      </c>
      <c r="K23" s="1">
        <v>58</v>
      </c>
      <c r="L23" s="1">
        <v>20</v>
      </c>
      <c r="M23" s="1">
        <v>78.182000000000002</v>
      </c>
      <c r="N23" s="1">
        <v>622</v>
      </c>
      <c r="O23" s="1">
        <v>11588</v>
      </c>
      <c r="P23" s="1">
        <v>1387.9129</v>
      </c>
      <c r="Q23" s="1">
        <v>905.52599999999995</v>
      </c>
      <c r="R23" s="5">
        <v>4.9884259259259257E-3</v>
      </c>
      <c r="S23" s="1">
        <v>123322</v>
      </c>
      <c r="T23" s="6">
        <v>7.47</v>
      </c>
      <c r="U23" s="1" t="str">
        <f>IF(ISNUMBER(SEARCH("Vande Bharat",Table1[[#This Row],[Video title]])),"Vande Bharat","Other")</f>
        <v>Other</v>
      </c>
    </row>
    <row r="24" spans="1:21" x14ac:dyDescent="0.3">
      <c r="A24" s="4" t="s">
        <v>68</v>
      </c>
      <c r="B24" s="1" t="s">
        <v>69</v>
      </c>
      <c r="C24" s="7">
        <v>45237</v>
      </c>
      <c r="D24" s="1">
        <v>1918</v>
      </c>
      <c r="E24" s="1">
        <v>9.48</v>
      </c>
      <c r="F24" s="1">
        <v>33</v>
      </c>
      <c r="G24" s="1">
        <v>1</v>
      </c>
      <c r="H24" s="1">
        <v>124</v>
      </c>
      <c r="I24" s="1">
        <v>5</v>
      </c>
      <c r="J24" s="1">
        <v>96.12</v>
      </c>
      <c r="K24" s="1">
        <v>25</v>
      </c>
      <c r="L24" s="1">
        <v>14</v>
      </c>
      <c r="M24" s="1">
        <v>28.503</v>
      </c>
      <c r="N24" s="1">
        <v>265</v>
      </c>
      <c r="O24" s="1">
        <v>12115</v>
      </c>
      <c r="P24" s="1">
        <v>612.02149999999995</v>
      </c>
      <c r="Q24" s="1">
        <v>345.28800000000001</v>
      </c>
      <c r="R24" s="5">
        <v>2.0949074074074073E-3</v>
      </c>
      <c r="S24" s="1">
        <v>98499</v>
      </c>
      <c r="T24" s="6">
        <v>10.66</v>
      </c>
      <c r="U24" s="1" t="str">
        <f>IF(ISNUMBER(SEARCH("Vande Bharat",Table1[[#This Row],[Video title]])),"Vande Bharat","Other")</f>
        <v>Other</v>
      </c>
    </row>
    <row r="25" spans="1:21" x14ac:dyDescent="0.3">
      <c r="A25" s="4" t="s">
        <v>70</v>
      </c>
      <c r="B25" s="1" t="s">
        <v>71</v>
      </c>
      <c r="C25" s="7">
        <v>45387</v>
      </c>
      <c r="D25" s="1">
        <v>2666</v>
      </c>
      <c r="E25" s="1">
        <v>9.8699999999999992</v>
      </c>
      <c r="F25" s="1">
        <v>47</v>
      </c>
      <c r="G25" s="1">
        <v>1</v>
      </c>
      <c r="H25" s="1">
        <v>151</v>
      </c>
      <c r="I25" s="1">
        <v>7</v>
      </c>
      <c r="J25" s="1">
        <v>95.57</v>
      </c>
      <c r="K25" s="1">
        <v>32</v>
      </c>
      <c r="L25" s="1">
        <v>22</v>
      </c>
      <c r="M25" s="1">
        <v>31.876000000000001</v>
      </c>
      <c r="N25" s="1">
        <v>190</v>
      </c>
      <c r="O25" s="1">
        <v>11129</v>
      </c>
      <c r="P25" s="1">
        <v>813.4443</v>
      </c>
      <c r="Q25" s="1">
        <v>354.66899999999998</v>
      </c>
      <c r="R25" s="5">
        <v>3.0439814814814813E-3</v>
      </c>
      <c r="S25" s="1">
        <v>101156</v>
      </c>
      <c r="T25" s="6">
        <v>9.26</v>
      </c>
      <c r="U25" s="1" t="str">
        <f>IF(ISNUMBER(SEARCH("Vande Bharat",Table1[[#This Row],[Video title]])),"Vande Bharat","Other")</f>
        <v>Other</v>
      </c>
    </row>
    <row r="26" spans="1:21" x14ac:dyDescent="0.3">
      <c r="A26" s="4" t="s">
        <v>72</v>
      </c>
      <c r="B26" s="1" t="s">
        <v>73</v>
      </c>
      <c r="C26" s="7">
        <v>44275</v>
      </c>
      <c r="D26" s="1">
        <v>432</v>
      </c>
      <c r="E26" s="1">
        <v>18.59</v>
      </c>
      <c r="F26" s="1">
        <v>47</v>
      </c>
      <c r="G26" s="1">
        <v>2</v>
      </c>
      <c r="H26" s="1">
        <v>181</v>
      </c>
      <c r="I26" s="1">
        <v>7</v>
      </c>
      <c r="J26" s="1">
        <v>96.28</v>
      </c>
      <c r="K26" s="1">
        <v>32</v>
      </c>
      <c r="L26" s="1">
        <v>24</v>
      </c>
      <c r="M26" s="1">
        <v>17.34</v>
      </c>
      <c r="N26" s="1">
        <v>45</v>
      </c>
      <c r="O26" s="1">
        <v>10020</v>
      </c>
      <c r="P26" s="1">
        <v>223.58600000000001</v>
      </c>
      <c r="Q26" s="1">
        <v>173.74600000000001</v>
      </c>
      <c r="R26" s="5">
        <v>9.2592592592592596E-4</v>
      </c>
      <c r="S26" s="1">
        <v>89662</v>
      </c>
      <c r="T26" s="6">
        <v>8.41</v>
      </c>
      <c r="U26" s="1" t="str">
        <f>IF(ISNUMBER(SEARCH("Vande Bharat",Table1[[#This Row],[Video title]])),"Vande Bharat","Other")</f>
        <v>Other</v>
      </c>
    </row>
    <row r="27" spans="1:21" x14ac:dyDescent="0.3">
      <c r="A27" s="4" t="s">
        <v>74</v>
      </c>
      <c r="B27" s="1" t="s">
        <v>75</v>
      </c>
      <c r="C27" s="7">
        <v>44607</v>
      </c>
      <c r="D27" s="1">
        <v>175</v>
      </c>
      <c r="E27" s="1">
        <v>39.85</v>
      </c>
      <c r="F27" s="1">
        <v>32</v>
      </c>
      <c r="G27" s="1">
        <v>1</v>
      </c>
      <c r="H27" s="1">
        <v>183</v>
      </c>
      <c r="I27" s="1">
        <v>6</v>
      </c>
      <c r="J27" s="1">
        <v>96.83</v>
      </c>
      <c r="K27" s="1">
        <v>39</v>
      </c>
      <c r="L27" s="1">
        <v>21</v>
      </c>
      <c r="M27" s="1">
        <v>18.888000000000002</v>
      </c>
      <c r="N27" s="1">
        <v>178</v>
      </c>
      <c r="O27" s="1">
        <v>9284</v>
      </c>
      <c r="P27" s="1">
        <v>179.8458</v>
      </c>
      <c r="Q27" s="1">
        <v>175.333</v>
      </c>
      <c r="R27" s="5">
        <v>7.9861111111111116E-4</v>
      </c>
      <c r="S27" s="1">
        <v>61310</v>
      </c>
      <c r="T27" s="6">
        <v>9.1199999999999992</v>
      </c>
      <c r="U27" s="1" t="str">
        <f>IF(ISNUMBER(SEARCH("Vande Bharat",Table1[[#This Row],[Video title]])),"Vande Bharat","Other")</f>
        <v>Other</v>
      </c>
    </row>
    <row r="28" spans="1:21" x14ac:dyDescent="0.3">
      <c r="A28" s="4" t="s">
        <v>76</v>
      </c>
      <c r="B28" s="1" t="s">
        <v>77</v>
      </c>
      <c r="C28" s="7">
        <v>44245</v>
      </c>
      <c r="D28" s="1">
        <v>310</v>
      </c>
      <c r="E28" s="1">
        <v>36.950000000000003</v>
      </c>
      <c r="F28" s="1">
        <v>48</v>
      </c>
      <c r="G28" s="1">
        <v>0</v>
      </c>
      <c r="H28" s="1">
        <v>152</v>
      </c>
      <c r="I28" s="1">
        <v>6</v>
      </c>
      <c r="J28" s="1">
        <v>96.2</v>
      </c>
      <c r="K28" s="1">
        <v>19</v>
      </c>
      <c r="L28" s="1">
        <v>23</v>
      </c>
      <c r="M28" s="1">
        <v>12.47</v>
      </c>
      <c r="N28" s="1">
        <v>97</v>
      </c>
      <c r="O28" s="1">
        <v>9292</v>
      </c>
      <c r="P28" s="1">
        <v>295.68520000000001</v>
      </c>
      <c r="Q28" s="1">
        <v>115.869</v>
      </c>
      <c r="R28" s="5">
        <v>1.3194444444444445E-3</v>
      </c>
      <c r="S28" s="1">
        <v>97124</v>
      </c>
      <c r="T28" s="6">
        <v>7.17</v>
      </c>
      <c r="U28" s="1" t="str">
        <f>IF(ISNUMBER(SEARCH("Vande Bharat",Table1[[#This Row],[Video title]])),"Vande Bharat","Other")</f>
        <v>Other</v>
      </c>
    </row>
    <row r="29" spans="1:21" x14ac:dyDescent="0.3">
      <c r="A29" s="4" t="s">
        <v>54</v>
      </c>
      <c r="B29" s="1" t="s">
        <v>55</v>
      </c>
      <c r="C29" s="7">
        <v>45884</v>
      </c>
      <c r="D29" s="1">
        <v>2019</v>
      </c>
      <c r="E29" s="1">
        <v>11.25</v>
      </c>
      <c r="F29" s="1">
        <v>31</v>
      </c>
      <c r="G29" s="1">
        <v>2</v>
      </c>
      <c r="H29" s="1">
        <v>146</v>
      </c>
      <c r="I29" s="1">
        <v>22</v>
      </c>
      <c r="J29" s="1">
        <v>86.9</v>
      </c>
      <c r="K29" s="1">
        <v>38</v>
      </c>
      <c r="L29" s="1">
        <v>32</v>
      </c>
      <c r="M29" s="1">
        <v>67.531999999999996</v>
      </c>
      <c r="N29" s="1">
        <v>1281</v>
      </c>
      <c r="O29" s="1">
        <v>14736</v>
      </c>
      <c r="P29" s="1">
        <v>930.04949999999997</v>
      </c>
      <c r="Q29" s="1">
        <v>994.827</v>
      </c>
      <c r="R29" s="5">
        <v>2.627314814814815E-3</v>
      </c>
      <c r="S29" s="1">
        <v>109936</v>
      </c>
      <c r="T29" s="6">
        <v>11.11</v>
      </c>
      <c r="U29" s="1" t="str">
        <f>IF(ISNUMBER(SEARCH("Vande Bharat",Table1[[#This Row],[Video title]])),"Vande Bharat","Other")</f>
        <v>Vande Bharat</v>
      </c>
    </row>
    <row r="30" spans="1:21" x14ac:dyDescent="0.3">
      <c r="A30" s="4" t="s">
        <v>80</v>
      </c>
      <c r="B30" s="1" t="s">
        <v>81</v>
      </c>
      <c r="C30" s="7">
        <v>45928</v>
      </c>
      <c r="D30" s="1">
        <v>1383</v>
      </c>
      <c r="E30" s="1">
        <v>17.66</v>
      </c>
      <c r="F30" s="1">
        <v>29</v>
      </c>
      <c r="G30" s="1">
        <v>3</v>
      </c>
      <c r="H30" s="1">
        <v>114</v>
      </c>
      <c r="I30" s="1">
        <v>1</v>
      </c>
      <c r="J30" s="1">
        <v>99.13</v>
      </c>
      <c r="K30" s="1">
        <v>13</v>
      </c>
      <c r="L30" s="1">
        <v>32</v>
      </c>
      <c r="M30" s="1">
        <v>52.628999999999998</v>
      </c>
      <c r="N30" s="1">
        <v>414</v>
      </c>
      <c r="O30" s="1">
        <v>8731</v>
      </c>
      <c r="P30" s="1">
        <v>592.30499999999995</v>
      </c>
      <c r="Q30" s="1">
        <v>459.40899999999999</v>
      </c>
      <c r="R30" s="5">
        <v>2.8240740740740739E-3</v>
      </c>
      <c r="S30" s="1">
        <v>113176</v>
      </c>
      <c r="T30" s="6">
        <v>6.31</v>
      </c>
      <c r="U30" s="1" t="str">
        <f>IF(ISNUMBER(SEARCH("Vande Bharat",Table1[[#This Row],[Video title]])),"Vande Bharat","Other")</f>
        <v>Other</v>
      </c>
    </row>
    <row r="31" spans="1:21" x14ac:dyDescent="0.3">
      <c r="A31" s="4" t="s">
        <v>31</v>
      </c>
      <c r="B31" s="1" t="s">
        <v>32</v>
      </c>
      <c r="C31" s="7">
        <v>45881</v>
      </c>
      <c r="D31" s="1">
        <v>2855</v>
      </c>
      <c r="E31" s="1">
        <v>11.59</v>
      </c>
      <c r="F31" s="1">
        <v>227</v>
      </c>
      <c r="G31" s="1">
        <v>7</v>
      </c>
      <c r="H31" s="1">
        <v>531</v>
      </c>
      <c r="I31" s="1">
        <v>35</v>
      </c>
      <c r="J31" s="1">
        <v>93.82</v>
      </c>
      <c r="K31" s="1">
        <v>156</v>
      </c>
      <c r="L31" s="1">
        <v>72</v>
      </c>
      <c r="M31" s="1">
        <v>68.263000000000005</v>
      </c>
      <c r="N31" s="1">
        <v>3615</v>
      </c>
      <c r="O31" s="1">
        <v>47593</v>
      </c>
      <c r="P31" s="1">
        <v>4373.0312999999996</v>
      </c>
      <c r="Q31" s="1">
        <v>3248.8229999999999</v>
      </c>
      <c r="R31" s="5">
        <v>3.8194444444444443E-3</v>
      </c>
      <c r="S31" s="1">
        <v>483697</v>
      </c>
      <c r="T31" s="6">
        <v>8.08</v>
      </c>
      <c r="U31" s="1" t="str">
        <f>IF(ISNUMBER(SEARCH("Vande Bharat",Table1[[#This Row],[Video title]])),"Vande Bharat","Other")</f>
        <v>Vande Bharat</v>
      </c>
    </row>
    <row r="32" spans="1:21" x14ac:dyDescent="0.3">
      <c r="A32" s="4" t="s">
        <v>84</v>
      </c>
      <c r="B32" s="1" t="s">
        <v>85</v>
      </c>
      <c r="C32" s="7">
        <v>44716</v>
      </c>
      <c r="D32" s="1">
        <v>2627</v>
      </c>
      <c r="E32" s="1">
        <v>7.66</v>
      </c>
      <c r="F32" s="1">
        <v>44</v>
      </c>
      <c r="G32" s="1">
        <v>3</v>
      </c>
      <c r="H32" s="1">
        <v>141</v>
      </c>
      <c r="I32" s="1">
        <v>6</v>
      </c>
      <c r="J32" s="1">
        <v>95.92</v>
      </c>
      <c r="K32" s="1">
        <v>15</v>
      </c>
      <c r="L32" s="1">
        <v>34</v>
      </c>
      <c r="M32" s="1">
        <v>26.071000000000002</v>
      </c>
      <c r="N32" s="1">
        <v>98</v>
      </c>
      <c r="O32" s="1">
        <v>9522</v>
      </c>
      <c r="P32" s="1">
        <v>532.36770000000001</v>
      </c>
      <c r="Q32" s="1">
        <v>248.24600000000001</v>
      </c>
      <c r="R32" s="5">
        <v>2.3263888888888887E-3</v>
      </c>
      <c r="S32" s="1">
        <v>81107</v>
      </c>
      <c r="T32" s="6">
        <v>10.31</v>
      </c>
      <c r="U32" s="1" t="str">
        <f>IF(ISNUMBER(SEARCH("Vande Bharat",Table1[[#This Row],[Video title]])),"Vande Bharat","Other")</f>
        <v>Other</v>
      </c>
    </row>
    <row r="33" spans="1:26" x14ac:dyDescent="0.3">
      <c r="A33" s="4" t="s">
        <v>86</v>
      </c>
      <c r="B33" s="1" t="s">
        <v>87</v>
      </c>
      <c r="C33" s="7">
        <v>44784</v>
      </c>
      <c r="D33" s="1">
        <v>2756</v>
      </c>
      <c r="E33" s="1">
        <v>6.87</v>
      </c>
      <c r="F33" s="1">
        <v>24</v>
      </c>
      <c r="G33" s="1">
        <v>1</v>
      </c>
      <c r="H33" s="1">
        <v>154</v>
      </c>
      <c r="I33" s="1">
        <v>16</v>
      </c>
      <c r="J33" s="1">
        <v>90.59</v>
      </c>
      <c r="K33" s="1">
        <v>38</v>
      </c>
      <c r="L33" s="1">
        <v>27</v>
      </c>
      <c r="M33" s="1">
        <v>35.975000000000001</v>
      </c>
      <c r="N33" s="1">
        <v>464</v>
      </c>
      <c r="O33" s="1">
        <v>8801</v>
      </c>
      <c r="P33" s="1">
        <v>462.93329999999997</v>
      </c>
      <c r="Q33" s="1">
        <v>316.61</v>
      </c>
      <c r="R33" s="5">
        <v>2.1875000000000002E-3</v>
      </c>
      <c r="S33" s="1">
        <v>61411</v>
      </c>
      <c r="T33" s="6">
        <v>12.19</v>
      </c>
      <c r="U33" s="1" t="str">
        <f>IF(ISNUMBER(SEARCH("Vande Bharat",Table1[[#This Row],[Video title]])),"Vande Bharat","Other")</f>
        <v>Other</v>
      </c>
    </row>
    <row r="34" spans="1:26" x14ac:dyDescent="0.3">
      <c r="A34" s="4" t="s">
        <v>88</v>
      </c>
      <c r="B34" s="1" t="s">
        <v>89</v>
      </c>
      <c r="C34" s="7">
        <v>44345</v>
      </c>
      <c r="D34" s="1">
        <v>500</v>
      </c>
      <c r="E34" s="1">
        <v>20.55</v>
      </c>
      <c r="F34" s="1">
        <v>37</v>
      </c>
      <c r="G34" s="1">
        <v>4</v>
      </c>
      <c r="H34" s="1">
        <v>157</v>
      </c>
      <c r="I34" s="1">
        <v>6</v>
      </c>
      <c r="J34" s="1">
        <v>96.32</v>
      </c>
      <c r="K34" s="1">
        <v>23</v>
      </c>
      <c r="L34" s="1">
        <v>33</v>
      </c>
      <c r="M34" s="1">
        <v>18.452999999999999</v>
      </c>
      <c r="N34" s="1">
        <v>74</v>
      </c>
      <c r="O34" s="1">
        <v>8049</v>
      </c>
      <c r="P34" s="1">
        <v>229.70070000000001</v>
      </c>
      <c r="Q34" s="1">
        <v>148.52799999999999</v>
      </c>
      <c r="R34" s="5">
        <v>1.1805555555555556E-3</v>
      </c>
      <c r="S34" s="1">
        <v>109208</v>
      </c>
      <c r="T34" s="6">
        <v>4.2</v>
      </c>
      <c r="U34" s="1" t="str">
        <f>IF(ISNUMBER(SEARCH("Vande Bharat",Table1[[#This Row],[Video title]])),"Vande Bharat","Other")</f>
        <v>Other</v>
      </c>
    </row>
    <row r="35" spans="1:26" x14ac:dyDescent="0.3">
      <c r="A35" s="4" t="s">
        <v>90</v>
      </c>
      <c r="B35" s="1" t="s">
        <v>91</v>
      </c>
      <c r="C35" s="7">
        <v>44230</v>
      </c>
      <c r="D35" s="1">
        <v>15</v>
      </c>
      <c r="E35" s="1">
        <v>79.25</v>
      </c>
      <c r="F35" s="1">
        <v>37</v>
      </c>
      <c r="G35" s="1">
        <v>0</v>
      </c>
      <c r="H35" s="1">
        <v>246</v>
      </c>
      <c r="I35" s="1">
        <v>7</v>
      </c>
      <c r="J35" s="1">
        <v>97.23</v>
      </c>
      <c r="K35" s="1">
        <v>10</v>
      </c>
      <c r="L35" s="1">
        <v>6</v>
      </c>
      <c r="M35" s="1">
        <v>3.3000000000000002E-2</v>
      </c>
      <c r="N35" s="1">
        <v>25</v>
      </c>
      <c r="O35" s="1">
        <v>7578</v>
      </c>
      <c r="P35" s="1">
        <v>24.915299999999998</v>
      </c>
      <c r="Q35" s="1">
        <v>0.246</v>
      </c>
      <c r="R35" s="5">
        <v>1.273148148148148E-4</v>
      </c>
      <c r="S35" s="1">
        <v>71673</v>
      </c>
      <c r="T35" s="6">
        <v>1.61</v>
      </c>
      <c r="U35" s="1" t="str">
        <f>IF(ISNUMBER(SEARCH("Vande Bharat",Table1[[#This Row],[Video title]])),"Vande Bharat","Other")</f>
        <v>Other</v>
      </c>
    </row>
    <row r="36" spans="1:26" x14ac:dyDescent="0.3">
      <c r="A36" s="4" t="s">
        <v>92</v>
      </c>
      <c r="B36" s="1" t="s">
        <v>93</v>
      </c>
      <c r="C36" s="7">
        <v>44611</v>
      </c>
      <c r="D36" s="1">
        <v>121</v>
      </c>
      <c r="E36" s="1">
        <v>48.1</v>
      </c>
      <c r="F36" s="1">
        <v>10</v>
      </c>
      <c r="G36" s="1">
        <v>1</v>
      </c>
      <c r="H36" s="1">
        <v>39</v>
      </c>
      <c r="I36" s="1">
        <v>1</v>
      </c>
      <c r="J36" s="1">
        <v>97.5</v>
      </c>
      <c r="K36" s="1">
        <v>81</v>
      </c>
      <c r="L36" s="1">
        <v>11</v>
      </c>
      <c r="M36" s="1">
        <v>50.978999999999999</v>
      </c>
      <c r="N36" s="1">
        <v>254</v>
      </c>
      <c r="O36" s="1">
        <v>7475</v>
      </c>
      <c r="P36" s="1">
        <v>120.8443</v>
      </c>
      <c r="Q36" s="1">
        <v>381.06900000000002</v>
      </c>
      <c r="R36" s="5">
        <v>6.7129629629629625E-4</v>
      </c>
      <c r="S36" s="1">
        <v>21493</v>
      </c>
      <c r="T36" s="6">
        <v>11.66</v>
      </c>
      <c r="U36" s="1" t="str">
        <f>IF(ISNUMBER(SEARCH("Vande Bharat",Table1[[#This Row],[Video title]])),"Vande Bharat","Other")</f>
        <v>Other</v>
      </c>
    </row>
    <row r="37" spans="1:26" x14ac:dyDescent="0.3">
      <c r="A37" s="4" t="s">
        <v>94</v>
      </c>
      <c r="B37" s="1" t="s">
        <v>95</v>
      </c>
      <c r="C37" s="7">
        <v>44850</v>
      </c>
      <c r="D37" s="1">
        <v>1710</v>
      </c>
      <c r="E37" s="1">
        <v>9.9600000000000009</v>
      </c>
      <c r="F37" s="1">
        <v>25</v>
      </c>
      <c r="G37" s="1">
        <v>2</v>
      </c>
      <c r="H37" s="1">
        <v>96</v>
      </c>
      <c r="I37" s="1">
        <v>3</v>
      </c>
      <c r="J37" s="1">
        <v>96.97</v>
      </c>
      <c r="K37" s="1">
        <v>31</v>
      </c>
      <c r="L37" s="1">
        <v>16</v>
      </c>
      <c r="M37" s="1">
        <v>19.568000000000001</v>
      </c>
      <c r="N37" s="1">
        <v>104</v>
      </c>
      <c r="O37" s="1">
        <v>7972</v>
      </c>
      <c r="P37" s="1">
        <v>376.9873</v>
      </c>
      <c r="Q37" s="1">
        <v>155.99</v>
      </c>
      <c r="R37" s="5">
        <v>1.9675925925925924E-3</v>
      </c>
      <c r="S37" s="1">
        <v>73712</v>
      </c>
      <c r="T37" s="6">
        <v>9.8000000000000007</v>
      </c>
      <c r="U37" s="1" t="str">
        <f>IF(ISNUMBER(SEARCH("Vande Bharat",Table1[[#This Row],[Video title]])),"Vande Bharat","Other")</f>
        <v>Other</v>
      </c>
    </row>
    <row r="38" spans="1:26" x14ac:dyDescent="0.3">
      <c r="A38" s="4" t="s">
        <v>316</v>
      </c>
      <c r="B38" s="1" t="s">
        <v>317</v>
      </c>
      <c r="C38" s="7">
        <v>45879</v>
      </c>
      <c r="D38" s="1">
        <v>45</v>
      </c>
      <c r="E38" s="1">
        <v>66.05</v>
      </c>
      <c r="F38" s="1">
        <v>5</v>
      </c>
      <c r="G38" s="1">
        <v>1</v>
      </c>
      <c r="H38" s="1">
        <v>53</v>
      </c>
      <c r="I38" s="1">
        <v>3</v>
      </c>
      <c r="J38" s="1">
        <v>94.64</v>
      </c>
      <c r="K38" s="1">
        <v>7</v>
      </c>
      <c r="L38" s="1">
        <v>1</v>
      </c>
      <c r="M38" s="1">
        <v>0.91600000000000004</v>
      </c>
      <c r="N38" s="1">
        <v>277</v>
      </c>
      <c r="O38" s="1">
        <v>4931</v>
      </c>
      <c r="P38" s="1">
        <v>21.194600000000001</v>
      </c>
      <c r="Q38" s="1">
        <v>2.2690000000000001</v>
      </c>
      <c r="R38" s="5">
        <v>3.3564814814814812E-4</v>
      </c>
      <c r="S38" s="1">
        <v>15034</v>
      </c>
      <c r="T38" s="6">
        <v>4.1399999999999997</v>
      </c>
      <c r="U38" s="1" t="str">
        <f>IF(ISNUMBER(SEARCH("Vande Bharat",Table1[[#This Row],[Video title]])),"Vande Bharat","Other")</f>
        <v>Vande Bharat</v>
      </c>
    </row>
    <row r="39" spans="1:26" x14ac:dyDescent="0.3">
      <c r="A39" s="4" t="s">
        <v>98</v>
      </c>
      <c r="B39" s="1" t="s">
        <v>99</v>
      </c>
      <c r="C39" s="7">
        <v>45947</v>
      </c>
      <c r="D39" s="1">
        <v>10</v>
      </c>
      <c r="E39" s="1">
        <v>108.32</v>
      </c>
      <c r="F39" s="1">
        <v>9</v>
      </c>
      <c r="G39" s="1">
        <v>1</v>
      </c>
      <c r="H39" s="1">
        <v>154</v>
      </c>
      <c r="I39" s="1">
        <v>6</v>
      </c>
      <c r="J39" s="1">
        <v>96.25</v>
      </c>
      <c r="K39" s="1">
        <v>6</v>
      </c>
      <c r="L39" s="1">
        <v>2</v>
      </c>
      <c r="M39" s="1">
        <v>1.1319999999999999</v>
      </c>
      <c r="N39" s="1">
        <v>589</v>
      </c>
      <c r="O39" s="1">
        <v>19292</v>
      </c>
      <c r="P39" s="1">
        <v>24.302600000000002</v>
      </c>
      <c r="Q39" s="1">
        <v>8.1709999999999994</v>
      </c>
      <c r="R39" s="5">
        <v>1.1574074074074075E-4</v>
      </c>
      <c r="S39" s="1">
        <v>72410</v>
      </c>
      <c r="T39" s="6">
        <v>3.11</v>
      </c>
      <c r="U39" s="1" t="str">
        <f>IF(ISNUMBER(SEARCH("Vande Bharat",Table1[[#This Row],[Video title]])),"Vande Bharat","Other")</f>
        <v>Other</v>
      </c>
    </row>
    <row r="40" spans="1:26" x14ac:dyDescent="0.3">
      <c r="A40" s="4" t="s">
        <v>100</v>
      </c>
      <c r="B40" s="1" t="s">
        <v>101</v>
      </c>
      <c r="C40" s="7">
        <v>44274</v>
      </c>
      <c r="D40" s="1">
        <v>328</v>
      </c>
      <c r="E40" s="1">
        <v>34.71</v>
      </c>
      <c r="F40" s="1">
        <v>22</v>
      </c>
      <c r="G40" s="1">
        <v>4</v>
      </c>
      <c r="H40" s="1">
        <v>147</v>
      </c>
      <c r="I40" s="1">
        <v>11</v>
      </c>
      <c r="J40" s="1">
        <v>93.04</v>
      </c>
      <c r="K40" s="1">
        <v>17</v>
      </c>
      <c r="L40" s="1">
        <v>29</v>
      </c>
      <c r="M40" s="1">
        <v>4.4000000000000004</v>
      </c>
      <c r="N40" s="1">
        <v>61</v>
      </c>
      <c r="O40" s="1">
        <v>7516</v>
      </c>
      <c r="P40" s="1">
        <v>237.7</v>
      </c>
      <c r="Q40" s="1">
        <v>33.064</v>
      </c>
      <c r="R40" s="5">
        <v>1.3078703703703703E-3</v>
      </c>
      <c r="S40" s="1">
        <v>103452</v>
      </c>
      <c r="T40" s="6">
        <v>4.62</v>
      </c>
      <c r="U40" s="1" t="str">
        <f>IF(ISNUMBER(SEARCH("Vande Bharat",Table1[[#This Row],[Video title]])),"Vande Bharat","Other")</f>
        <v>Other</v>
      </c>
    </row>
    <row r="41" spans="1:26" x14ac:dyDescent="0.3">
      <c r="A41" s="4" t="s">
        <v>102</v>
      </c>
      <c r="B41" s="1" t="s">
        <v>103</v>
      </c>
      <c r="C41" s="7">
        <v>45482</v>
      </c>
      <c r="D41" s="1">
        <v>3350</v>
      </c>
      <c r="E41" s="1">
        <v>8.27</v>
      </c>
      <c r="F41" s="1">
        <v>44</v>
      </c>
      <c r="G41" s="1">
        <v>3</v>
      </c>
      <c r="H41" s="1">
        <v>110</v>
      </c>
      <c r="I41" s="1">
        <v>8</v>
      </c>
      <c r="J41" s="1">
        <v>93.22</v>
      </c>
      <c r="K41" s="1">
        <v>13</v>
      </c>
      <c r="L41" s="1">
        <v>13</v>
      </c>
      <c r="M41" s="1">
        <v>33.381</v>
      </c>
      <c r="N41" s="1">
        <v>173</v>
      </c>
      <c r="O41" s="1">
        <v>7870</v>
      </c>
      <c r="P41" s="1">
        <v>605.8279</v>
      </c>
      <c r="Q41" s="1">
        <v>262.64299999999997</v>
      </c>
      <c r="R41" s="5">
        <v>3.2060185185185186E-3</v>
      </c>
      <c r="S41" s="1">
        <v>77939</v>
      </c>
      <c r="T41" s="6">
        <v>8.5500000000000007</v>
      </c>
      <c r="U41" s="1" t="str">
        <f>IF(ISNUMBER(SEARCH("Vande Bharat",Table1[[#This Row],[Video title]])),"Vande Bharat","Other")</f>
        <v>Other</v>
      </c>
    </row>
    <row r="42" spans="1:26" x14ac:dyDescent="0.3">
      <c r="A42" s="4" t="s">
        <v>104</v>
      </c>
      <c r="B42" s="1" t="s">
        <v>105</v>
      </c>
      <c r="C42" s="7">
        <v>44829</v>
      </c>
      <c r="D42" s="1">
        <v>3272</v>
      </c>
      <c r="E42" s="1">
        <v>7.87</v>
      </c>
      <c r="F42" s="1">
        <v>33</v>
      </c>
      <c r="G42" s="1">
        <v>3</v>
      </c>
      <c r="H42" s="1">
        <v>105</v>
      </c>
      <c r="I42" s="1">
        <v>4</v>
      </c>
      <c r="J42" s="1">
        <v>96.33</v>
      </c>
      <c r="K42" s="1">
        <v>15</v>
      </c>
      <c r="L42" s="1">
        <v>21</v>
      </c>
      <c r="M42" s="1">
        <v>31.116</v>
      </c>
      <c r="N42" s="1">
        <v>132</v>
      </c>
      <c r="O42" s="1">
        <v>8747</v>
      </c>
      <c r="P42" s="1">
        <v>625.72709999999995</v>
      </c>
      <c r="Q42" s="1">
        <v>272.48599999999999</v>
      </c>
      <c r="R42" s="5">
        <v>2.9745370370370373E-3</v>
      </c>
      <c r="S42" s="1">
        <v>65517</v>
      </c>
      <c r="T42" s="6">
        <v>11.29</v>
      </c>
      <c r="U42" s="1" t="str">
        <f>IF(ISNUMBER(SEARCH("Vande Bharat",Table1[[#This Row],[Video title]])),"Vande Bharat","Other")</f>
        <v>Other</v>
      </c>
    </row>
    <row r="43" spans="1:26" x14ac:dyDescent="0.3">
      <c r="A43" s="4" t="s">
        <v>872</v>
      </c>
      <c r="B43" s="1" t="s">
        <v>873</v>
      </c>
      <c r="C43" s="7">
        <v>45879</v>
      </c>
      <c r="D43" s="1">
        <v>146</v>
      </c>
      <c r="E43" s="1">
        <v>40.159999999999997</v>
      </c>
      <c r="F43" s="1">
        <v>0</v>
      </c>
      <c r="G43" s="1">
        <v>0</v>
      </c>
      <c r="H43" s="1">
        <v>25</v>
      </c>
      <c r="I43" s="1">
        <v>0</v>
      </c>
      <c r="J43" s="1">
        <v>100</v>
      </c>
      <c r="K43" s="1">
        <v>2</v>
      </c>
      <c r="L43" s="1">
        <v>2</v>
      </c>
      <c r="M43" s="1">
        <v>19.074000000000002</v>
      </c>
      <c r="N43" s="1">
        <v>40</v>
      </c>
      <c r="O43" s="1">
        <v>708</v>
      </c>
      <c r="P43" s="1">
        <v>11.531700000000001</v>
      </c>
      <c r="Q43" s="1">
        <v>13.484999999999999</v>
      </c>
      <c r="R43" s="5">
        <v>6.7129629629629625E-4</v>
      </c>
      <c r="S43" s="1">
        <v>8914</v>
      </c>
      <c r="T43" s="6">
        <v>5.93</v>
      </c>
      <c r="U43" s="1" t="str">
        <f>IF(ISNUMBER(SEARCH("Vande Bharat",Table1[[#This Row],[Video title]])),"Vande Bharat","Other")</f>
        <v>Vande Bharat</v>
      </c>
    </row>
    <row r="44" spans="1:26" x14ac:dyDescent="0.3">
      <c r="A44" s="4" t="s">
        <v>108</v>
      </c>
      <c r="B44" s="1" t="s">
        <v>109</v>
      </c>
      <c r="C44" s="7">
        <v>45517</v>
      </c>
      <c r="D44" s="1">
        <v>14</v>
      </c>
      <c r="E44" s="1">
        <v>116.1</v>
      </c>
      <c r="F44" s="1">
        <v>16</v>
      </c>
      <c r="G44" s="1">
        <v>0</v>
      </c>
      <c r="H44" s="1">
        <v>60</v>
      </c>
      <c r="I44" s="1">
        <v>5</v>
      </c>
      <c r="J44" s="1">
        <v>92.31</v>
      </c>
      <c r="K44" s="1">
        <v>5</v>
      </c>
      <c r="L44" s="1">
        <v>2</v>
      </c>
      <c r="M44" s="1">
        <v>1.367</v>
      </c>
      <c r="N44" s="1">
        <v>103</v>
      </c>
      <c r="O44" s="1">
        <v>5941</v>
      </c>
      <c r="P44" s="1">
        <v>26.351099999999999</v>
      </c>
      <c r="Q44" s="1">
        <v>7.9649999999999999</v>
      </c>
      <c r="R44" s="5">
        <v>1.8518518518518518E-4</v>
      </c>
      <c r="S44" s="1">
        <v>2075</v>
      </c>
      <c r="T44" s="6">
        <v>3.18</v>
      </c>
      <c r="U44" s="1" t="str">
        <f>IF(ISNUMBER(SEARCH("Vande Bharat",Table1[[#This Row],[Video title]])),"Vande Bharat","Other")</f>
        <v>Other</v>
      </c>
    </row>
    <row r="45" spans="1:26" x14ac:dyDescent="0.3">
      <c r="A45" s="4" t="s">
        <v>110</v>
      </c>
      <c r="B45" s="1" t="s">
        <v>111</v>
      </c>
      <c r="C45" s="7">
        <v>44957</v>
      </c>
      <c r="D45" s="1">
        <v>1763</v>
      </c>
      <c r="E45" s="1">
        <v>10.14</v>
      </c>
      <c r="F45" s="1">
        <v>24</v>
      </c>
      <c r="G45" s="1">
        <v>1</v>
      </c>
      <c r="H45" s="1">
        <v>85</v>
      </c>
      <c r="I45" s="1">
        <v>4</v>
      </c>
      <c r="J45" s="1">
        <v>95.51</v>
      </c>
      <c r="K45" s="1">
        <v>14</v>
      </c>
      <c r="L45" s="1">
        <v>20</v>
      </c>
      <c r="M45" s="1">
        <v>21.809000000000001</v>
      </c>
      <c r="N45" s="1">
        <v>95</v>
      </c>
      <c r="O45" s="1">
        <v>7398</v>
      </c>
      <c r="P45" s="1">
        <v>367.39670000000001</v>
      </c>
      <c r="Q45" s="1">
        <v>161.26300000000001</v>
      </c>
      <c r="R45" s="5">
        <v>2.0601851851851853E-3</v>
      </c>
      <c r="S45" s="1">
        <v>55773</v>
      </c>
      <c r="T45" s="6">
        <v>11.7</v>
      </c>
      <c r="U45" s="1" t="str">
        <f>IF(ISNUMBER(SEARCH("Vande Bharat",Table1[[#This Row],[Video title]])),"Vande Bharat","Other")</f>
        <v>Other</v>
      </c>
    </row>
    <row r="46" spans="1:26" ht="15" thickBot="1" x14ac:dyDescent="0.35">
      <c r="A46" s="4" t="s">
        <v>112</v>
      </c>
      <c r="B46" s="1" t="s">
        <v>113</v>
      </c>
      <c r="C46" s="7">
        <v>45997</v>
      </c>
      <c r="D46" s="1">
        <v>3478</v>
      </c>
      <c r="E46" s="1">
        <v>8.4600000000000009</v>
      </c>
      <c r="F46" s="1">
        <v>29</v>
      </c>
      <c r="G46" s="1">
        <v>4</v>
      </c>
      <c r="H46" s="1">
        <v>127</v>
      </c>
      <c r="I46" s="1">
        <v>3</v>
      </c>
      <c r="J46" s="1">
        <v>97.69</v>
      </c>
      <c r="K46" s="1">
        <v>24</v>
      </c>
      <c r="L46" s="1">
        <v>35</v>
      </c>
      <c r="M46" s="1">
        <v>66.221000000000004</v>
      </c>
      <c r="N46" s="1">
        <v>378</v>
      </c>
      <c r="O46" s="1">
        <v>7567</v>
      </c>
      <c r="P46" s="1">
        <v>618.43020000000001</v>
      </c>
      <c r="Q46" s="1">
        <v>500.661</v>
      </c>
      <c r="R46" s="5">
        <v>3.4027777777777776E-3</v>
      </c>
      <c r="S46" s="1">
        <v>81481</v>
      </c>
      <c r="T46" s="6">
        <v>7.82</v>
      </c>
      <c r="U46" s="1" t="str">
        <f>IF(ISNUMBER(SEARCH("Vande Bharat",Table1[[#This Row],[Video title]])),"Vande Bharat","Other")</f>
        <v>Other</v>
      </c>
    </row>
    <row r="47" spans="1:26" x14ac:dyDescent="0.3">
      <c r="A47" s="4" t="s">
        <v>52</v>
      </c>
      <c r="B47" s="1" t="s">
        <v>53</v>
      </c>
      <c r="C47" s="7">
        <v>45877</v>
      </c>
      <c r="D47" s="1">
        <v>154</v>
      </c>
      <c r="E47" s="1">
        <v>35.979999999999997</v>
      </c>
      <c r="F47" s="1">
        <v>23</v>
      </c>
      <c r="G47" s="1">
        <v>1</v>
      </c>
      <c r="H47" s="1">
        <v>81</v>
      </c>
      <c r="I47" s="1">
        <v>3</v>
      </c>
      <c r="J47" s="1">
        <v>96.43</v>
      </c>
      <c r="K47" s="1">
        <v>52</v>
      </c>
      <c r="L47" s="1">
        <v>12</v>
      </c>
      <c r="M47" s="1">
        <v>22.646000000000001</v>
      </c>
      <c r="N47" s="1">
        <v>541</v>
      </c>
      <c r="O47" s="1">
        <v>13996</v>
      </c>
      <c r="P47" s="1">
        <v>215.41900000000001</v>
      </c>
      <c r="Q47" s="1">
        <v>316.97699999999998</v>
      </c>
      <c r="R47" s="5">
        <v>6.3657407407407413E-4</v>
      </c>
      <c r="S47" s="1">
        <v>131527</v>
      </c>
      <c r="T47" s="6">
        <v>9.8699999999999992</v>
      </c>
      <c r="U47" s="1" t="str">
        <f>IF(ISNUMBER(SEARCH("Vande Bharat",Table1[[#This Row],[Video title]])),"Vande Bharat","Other")</f>
        <v>Vande Bharat</v>
      </c>
      <c r="Y47" s="8" t="e" cm="1" vm="1">
        <f t="array" aca="1" ref="Y47" ca="1">+++D2:D501</f>
        <v>#VALUE!</v>
      </c>
      <c r="Z47" s="18" cm="1">
        <f t="array" aca="1" ref="Z47:Z49" ca="1">COUNTIF(Table1[[Category ]],Y47:Y49)</f>
        <v>0</v>
      </c>
    </row>
    <row r="48" spans="1:26" x14ac:dyDescent="0.3">
      <c r="A48" s="4" t="s">
        <v>116</v>
      </c>
      <c r="B48" s="1" t="s">
        <v>117</v>
      </c>
      <c r="C48" s="7">
        <v>44155</v>
      </c>
      <c r="D48" s="1">
        <v>1250</v>
      </c>
      <c r="E48" s="1">
        <v>11.53</v>
      </c>
      <c r="F48" s="1">
        <v>48</v>
      </c>
      <c r="G48" s="1">
        <v>4</v>
      </c>
      <c r="H48" s="1">
        <v>161</v>
      </c>
      <c r="I48" s="1">
        <v>8</v>
      </c>
      <c r="J48" s="1">
        <v>95.27</v>
      </c>
      <c r="K48" s="1">
        <v>49</v>
      </c>
      <c r="L48" s="1">
        <v>26</v>
      </c>
      <c r="M48" s="1">
        <v>19.751000000000001</v>
      </c>
      <c r="N48" s="1">
        <v>134</v>
      </c>
      <c r="O48" s="1">
        <v>6865</v>
      </c>
      <c r="P48" s="1">
        <v>274.72230000000002</v>
      </c>
      <c r="Q48" s="1">
        <v>135.92599999999999</v>
      </c>
      <c r="R48" s="5">
        <v>1.6666666666666668E-3</v>
      </c>
      <c r="S48" s="1">
        <v>87016</v>
      </c>
      <c r="T48" s="6">
        <v>5.37</v>
      </c>
      <c r="U48" s="1" t="str">
        <f>IF(ISNUMBER(SEARCH("Vande Bharat",Table1[[#This Row],[Video title]])),"Vande Bharat","Other")</f>
        <v>Other</v>
      </c>
      <c r="Y48" s="9" t="s">
        <v>1025</v>
      </c>
      <c r="Z48" s="16">
        <f ca="1"/>
        <v>447</v>
      </c>
    </row>
    <row r="49" spans="1:26" ht="15" thickBot="1" x14ac:dyDescent="0.35">
      <c r="A49" s="4" t="s">
        <v>120</v>
      </c>
      <c r="B49" s="1" t="s">
        <v>121</v>
      </c>
      <c r="C49" s="7">
        <v>45857</v>
      </c>
      <c r="D49" s="1">
        <v>375</v>
      </c>
      <c r="E49" s="1">
        <v>24.25</v>
      </c>
      <c r="F49" s="1">
        <v>10</v>
      </c>
      <c r="G49" s="1">
        <v>0</v>
      </c>
      <c r="H49" s="1">
        <v>117</v>
      </c>
      <c r="I49" s="1">
        <v>2</v>
      </c>
      <c r="J49" s="1">
        <v>98.32</v>
      </c>
      <c r="K49" s="1">
        <v>44</v>
      </c>
      <c r="L49" s="1">
        <v>18</v>
      </c>
      <c r="M49" s="1">
        <v>22.288</v>
      </c>
      <c r="N49" s="1">
        <v>375</v>
      </c>
      <c r="O49" s="1">
        <v>5899</v>
      </c>
      <c r="P49" s="1">
        <v>149.03440000000001</v>
      </c>
      <c r="Q49" s="1">
        <v>131.54</v>
      </c>
      <c r="R49" s="5">
        <v>1.0416666666666667E-3</v>
      </c>
      <c r="S49" s="1">
        <v>48356</v>
      </c>
      <c r="T49" s="6">
        <v>10.28</v>
      </c>
      <c r="U49" s="1" t="str">
        <f>IF(ISNUMBER(SEARCH("Vande Bharat",Table1[[#This Row],[Video title]])),"Vande Bharat","Other")</f>
        <v>Vande Bharat</v>
      </c>
      <c r="Y49" s="19" t="s">
        <v>1024</v>
      </c>
      <c r="Z49" s="20">
        <f ca="1"/>
        <v>53</v>
      </c>
    </row>
    <row r="50" spans="1:26" x14ac:dyDescent="0.3">
      <c r="A50" s="4" t="s">
        <v>220</v>
      </c>
      <c r="B50" s="1" t="s">
        <v>221</v>
      </c>
      <c r="C50" s="7">
        <v>45746</v>
      </c>
      <c r="D50" s="1">
        <v>1208</v>
      </c>
      <c r="E50" s="1">
        <v>14.48</v>
      </c>
      <c r="F50" s="1">
        <v>9</v>
      </c>
      <c r="G50" s="1">
        <v>3</v>
      </c>
      <c r="H50" s="1">
        <v>54</v>
      </c>
      <c r="I50" s="1">
        <v>0</v>
      </c>
      <c r="J50" s="1">
        <v>100</v>
      </c>
      <c r="K50" s="1">
        <v>9</v>
      </c>
      <c r="L50" s="1">
        <v>10</v>
      </c>
      <c r="M50" s="1">
        <v>36.398000000000003</v>
      </c>
      <c r="N50" s="1">
        <v>237</v>
      </c>
      <c r="O50" s="1">
        <v>3526</v>
      </c>
      <c r="P50" s="1">
        <v>171.28479999999999</v>
      </c>
      <c r="Q50" s="1">
        <v>128.33799999999999</v>
      </c>
      <c r="R50" s="5">
        <v>2.0138888888888888E-3</v>
      </c>
      <c r="S50" s="1">
        <v>48677</v>
      </c>
      <c r="T50" s="6">
        <v>5.96</v>
      </c>
      <c r="U50" s="1" t="str">
        <f>IF(ISNUMBER(SEARCH("Vande Bharat",Table1[[#This Row],[Video title]])),"Vande Bharat","Other")</f>
        <v>Vande Bharat</v>
      </c>
    </row>
    <row r="51" spans="1:26" x14ac:dyDescent="0.3">
      <c r="A51" s="4" t="s">
        <v>122</v>
      </c>
      <c r="B51" s="1" t="s">
        <v>123</v>
      </c>
      <c r="C51" s="7">
        <v>45603</v>
      </c>
      <c r="D51" s="1">
        <v>18</v>
      </c>
      <c r="E51" s="1">
        <v>90.96</v>
      </c>
      <c r="F51" s="1">
        <v>12</v>
      </c>
      <c r="G51" s="1">
        <v>0</v>
      </c>
      <c r="H51" s="1">
        <v>76</v>
      </c>
      <c r="I51" s="1">
        <v>8</v>
      </c>
      <c r="J51" s="1">
        <v>90.48</v>
      </c>
      <c r="K51" s="1">
        <v>5</v>
      </c>
      <c r="L51" s="1">
        <v>0</v>
      </c>
      <c r="M51" s="1">
        <v>1.3979999999999999</v>
      </c>
      <c r="N51" s="1">
        <v>78</v>
      </c>
      <c r="O51" s="1">
        <v>5215</v>
      </c>
      <c r="P51" s="1">
        <v>23.314599999999999</v>
      </c>
      <c r="Q51" s="1">
        <v>7.1589999999999998</v>
      </c>
      <c r="R51" s="5">
        <v>1.8518518518518518E-4</v>
      </c>
      <c r="S51" s="1">
        <v>6174</v>
      </c>
      <c r="T51" s="6">
        <v>4.49</v>
      </c>
      <c r="U51" s="1" t="str">
        <f>IF(ISNUMBER(SEARCH("Vande Bharat",Table1[[#This Row],[Video title]])),"Vande Bharat","Other")</f>
        <v>Other</v>
      </c>
    </row>
    <row r="52" spans="1:26" x14ac:dyDescent="0.3">
      <c r="A52" s="4" t="s">
        <v>124</v>
      </c>
      <c r="B52" s="1" t="s">
        <v>125</v>
      </c>
      <c r="C52" s="7">
        <v>46046</v>
      </c>
      <c r="D52" s="1">
        <v>34</v>
      </c>
      <c r="E52" s="1">
        <v>76.88</v>
      </c>
      <c r="F52" s="1">
        <v>4</v>
      </c>
      <c r="G52" s="1">
        <v>1</v>
      </c>
      <c r="H52" s="1">
        <v>139</v>
      </c>
      <c r="I52" s="1">
        <v>4</v>
      </c>
      <c r="J52" s="1">
        <v>97.2</v>
      </c>
      <c r="K52" s="1">
        <v>1</v>
      </c>
      <c r="L52" s="1">
        <v>1</v>
      </c>
      <c r="M52" s="1">
        <v>0.93300000000000005</v>
      </c>
      <c r="N52" s="1">
        <v>376</v>
      </c>
      <c r="O52" s="1">
        <v>8395</v>
      </c>
      <c r="P52" s="1">
        <v>36.630400000000002</v>
      </c>
      <c r="Q52" s="1">
        <v>4.6020000000000003</v>
      </c>
      <c r="R52" s="5">
        <v>3.0092592592592595E-4</v>
      </c>
      <c r="S52" s="1">
        <v>4097</v>
      </c>
      <c r="T52" s="6">
        <v>4.49</v>
      </c>
      <c r="U52" s="1" t="str">
        <f>IF(ISNUMBER(SEARCH("Vande Bharat",Table1[[#This Row],[Video title]])),"Vande Bharat","Other")</f>
        <v>Other</v>
      </c>
    </row>
    <row r="53" spans="1:26" x14ac:dyDescent="0.3">
      <c r="A53" s="4" t="s">
        <v>126</v>
      </c>
      <c r="B53" s="1" t="s">
        <v>127</v>
      </c>
      <c r="C53" s="7">
        <v>45565</v>
      </c>
      <c r="D53" s="1">
        <v>675</v>
      </c>
      <c r="E53" s="1">
        <v>20.2</v>
      </c>
      <c r="F53" s="1">
        <v>11</v>
      </c>
      <c r="G53" s="1">
        <v>1</v>
      </c>
      <c r="H53" s="1">
        <v>69</v>
      </c>
      <c r="I53" s="1">
        <v>6</v>
      </c>
      <c r="J53" s="1">
        <v>92</v>
      </c>
      <c r="K53" s="1">
        <v>51</v>
      </c>
      <c r="L53" s="1">
        <v>11</v>
      </c>
      <c r="M53" s="1">
        <v>53.67</v>
      </c>
      <c r="N53" s="1">
        <v>346</v>
      </c>
      <c r="O53" s="1">
        <v>5536</v>
      </c>
      <c r="P53" s="1">
        <v>209.64920000000001</v>
      </c>
      <c r="Q53" s="1">
        <v>297.15800000000002</v>
      </c>
      <c r="R53" s="5">
        <v>1.5740740740740741E-3</v>
      </c>
      <c r="S53" s="1">
        <v>55113</v>
      </c>
      <c r="T53" s="6">
        <v>8.4700000000000006</v>
      </c>
      <c r="U53" s="1" t="str">
        <f>IF(ISNUMBER(SEARCH("Vande Bharat",Table1[[#This Row],[Video title]])),"Vande Bharat","Other")</f>
        <v>Other</v>
      </c>
    </row>
    <row r="54" spans="1:26" x14ac:dyDescent="0.3">
      <c r="A54" s="4" t="s">
        <v>128</v>
      </c>
      <c r="B54" s="1" t="s">
        <v>129</v>
      </c>
      <c r="C54" s="7">
        <v>45948</v>
      </c>
      <c r="D54" s="1">
        <v>40</v>
      </c>
      <c r="E54" s="1">
        <v>53.41</v>
      </c>
      <c r="F54" s="1">
        <v>15</v>
      </c>
      <c r="G54" s="1">
        <v>2</v>
      </c>
      <c r="H54" s="1">
        <v>143</v>
      </c>
      <c r="I54" s="1">
        <v>9</v>
      </c>
      <c r="J54" s="1">
        <v>94.08</v>
      </c>
      <c r="K54" s="1">
        <v>18</v>
      </c>
      <c r="L54" s="1">
        <v>2</v>
      </c>
      <c r="M54" s="1">
        <v>0.85199999999999998</v>
      </c>
      <c r="N54" s="1">
        <v>197</v>
      </c>
      <c r="O54" s="1">
        <v>11091</v>
      </c>
      <c r="P54" s="1">
        <v>39.700299999999999</v>
      </c>
      <c r="Q54" s="1">
        <v>5.5149999999999997</v>
      </c>
      <c r="R54" s="5">
        <v>2.4305555555555555E-4</v>
      </c>
      <c r="S54" s="1">
        <v>33584</v>
      </c>
      <c r="T54" s="6">
        <v>8.2100000000000009</v>
      </c>
      <c r="U54" s="1" t="str">
        <f>IF(ISNUMBER(SEARCH("Vande Bharat",Table1[[#This Row],[Video title]])),"Vande Bharat","Other")</f>
        <v>Other</v>
      </c>
    </row>
    <row r="55" spans="1:26" x14ac:dyDescent="0.3">
      <c r="A55" s="4" t="s">
        <v>130</v>
      </c>
      <c r="B55" s="1" t="s">
        <v>131</v>
      </c>
      <c r="C55" s="7">
        <v>46010</v>
      </c>
      <c r="D55" s="1">
        <v>2653</v>
      </c>
      <c r="E55" s="1">
        <v>12.47</v>
      </c>
      <c r="F55" s="1">
        <v>15</v>
      </c>
      <c r="G55" s="1">
        <v>1</v>
      </c>
      <c r="H55" s="1">
        <v>91</v>
      </c>
      <c r="I55" s="1">
        <v>5</v>
      </c>
      <c r="J55" s="1">
        <v>94.79</v>
      </c>
      <c r="K55" s="1">
        <v>9</v>
      </c>
      <c r="L55" s="1">
        <v>20</v>
      </c>
      <c r="M55" s="1">
        <v>63.793999999999997</v>
      </c>
      <c r="N55" s="1">
        <v>166</v>
      </c>
      <c r="O55" s="1">
        <v>5701</v>
      </c>
      <c r="P55" s="1">
        <v>524.0222</v>
      </c>
      <c r="Q55" s="1">
        <v>362.76299999999998</v>
      </c>
      <c r="R55" s="5">
        <v>3.8194444444444443E-3</v>
      </c>
      <c r="S55" s="1">
        <v>81296</v>
      </c>
      <c r="T55" s="6">
        <v>6.03</v>
      </c>
      <c r="U55" s="1" t="str">
        <f>IF(ISNUMBER(SEARCH("Vande Bharat",Table1[[#This Row],[Video title]])),"Vande Bharat","Other")</f>
        <v>Other</v>
      </c>
    </row>
    <row r="56" spans="1:26" x14ac:dyDescent="0.3">
      <c r="A56" s="4" t="s">
        <v>132</v>
      </c>
      <c r="B56" s="1" t="s">
        <v>133</v>
      </c>
      <c r="C56" s="7">
        <v>45592</v>
      </c>
      <c r="D56" s="1">
        <v>17</v>
      </c>
      <c r="E56" s="1">
        <v>85.63</v>
      </c>
      <c r="F56" s="1">
        <v>16</v>
      </c>
      <c r="G56" s="1">
        <v>1</v>
      </c>
      <c r="H56" s="1">
        <v>147</v>
      </c>
      <c r="I56" s="1">
        <v>5</v>
      </c>
      <c r="J56" s="1">
        <v>96.71</v>
      </c>
      <c r="K56" s="1">
        <v>7</v>
      </c>
      <c r="L56" s="1">
        <v>1</v>
      </c>
      <c r="M56" s="1">
        <v>0.80300000000000005</v>
      </c>
      <c r="N56" s="1">
        <v>126</v>
      </c>
      <c r="O56" s="1">
        <v>12863</v>
      </c>
      <c r="P56" s="1">
        <v>27.3949</v>
      </c>
      <c r="Q56" s="1">
        <v>5.0949999999999998</v>
      </c>
      <c r="R56" s="5">
        <v>1.6203703703703703E-4</v>
      </c>
      <c r="S56" s="1">
        <v>56303</v>
      </c>
      <c r="T56" s="6">
        <v>3.78</v>
      </c>
      <c r="U56" s="1" t="str">
        <f>IF(ISNUMBER(SEARCH("Vande Bharat",Table1[[#This Row],[Video title]])),"Vande Bharat","Other")</f>
        <v>Other</v>
      </c>
    </row>
    <row r="57" spans="1:26" x14ac:dyDescent="0.3">
      <c r="A57" s="4" t="s">
        <v>134</v>
      </c>
      <c r="B57" s="1" t="s">
        <v>135</v>
      </c>
      <c r="C57" s="7">
        <v>46004</v>
      </c>
      <c r="D57" s="1">
        <v>2489</v>
      </c>
      <c r="E57" s="1">
        <v>9.5500000000000007</v>
      </c>
      <c r="F57" s="1">
        <v>10</v>
      </c>
      <c r="G57" s="1">
        <v>1</v>
      </c>
      <c r="H57" s="1">
        <v>112</v>
      </c>
      <c r="I57" s="1">
        <v>5</v>
      </c>
      <c r="J57" s="1">
        <v>95.73</v>
      </c>
      <c r="K57" s="1">
        <v>12</v>
      </c>
      <c r="L57" s="1">
        <v>15</v>
      </c>
      <c r="M57" s="1">
        <v>67.078999999999994</v>
      </c>
      <c r="N57" s="1">
        <v>270</v>
      </c>
      <c r="O57" s="1">
        <v>5636</v>
      </c>
      <c r="P57" s="1">
        <v>371.90780000000001</v>
      </c>
      <c r="Q57" s="1">
        <v>376.61399999999998</v>
      </c>
      <c r="R57" s="5">
        <v>2.7430555555555554E-3</v>
      </c>
      <c r="S57" s="1">
        <v>56640</v>
      </c>
      <c r="T57" s="6">
        <v>8.44</v>
      </c>
      <c r="U57" s="1" t="str">
        <f>IF(ISNUMBER(SEARCH("Vande Bharat",Table1[[#This Row],[Video title]])),"Vande Bharat","Other")</f>
        <v>Other</v>
      </c>
    </row>
    <row r="58" spans="1:26" x14ac:dyDescent="0.3">
      <c r="A58" s="4" t="s">
        <v>136</v>
      </c>
      <c r="B58" s="1" t="s">
        <v>137</v>
      </c>
      <c r="C58" s="7">
        <v>45980</v>
      </c>
      <c r="D58" s="1">
        <v>157</v>
      </c>
      <c r="E58" s="1">
        <v>45.9</v>
      </c>
      <c r="F58" s="1">
        <v>5</v>
      </c>
      <c r="G58" s="1">
        <v>0</v>
      </c>
      <c r="H58" s="1">
        <v>63</v>
      </c>
      <c r="I58" s="1">
        <v>0</v>
      </c>
      <c r="J58" s="1">
        <v>100</v>
      </c>
      <c r="K58" s="1">
        <v>34</v>
      </c>
      <c r="L58" s="1">
        <v>3</v>
      </c>
      <c r="M58" s="1">
        <v>19.82</v>
      </c>
      <c r="N58" s="1">
        <v>137</v>
      </c>
      <c r="O58" s="1">
        <v>4592</v>
      </c>
      <c r="P58" s="1">
        <v>91.913700000000006</v>
      </c>
      <c r="Q58" s="1">
        <v>90.855999999999995</v>
      </c>
      <c r="R58" s="5">
        <v>8.3333333333333339E-4</v>
      </c>
      <c r="S58" s="1">
        <v>83704</v>
      </c>
      <c r="T58" s="6">
        <v>4.96</v>
      </c>
      <c r="U58" s="1" t="str">
        <f>IF(ISNUMBER(SEARCH("Vande Bharat",Table1[[#This Row],[Video title]])),"Vande Bharat","Other")</f>
        <v>Other</v>
      </c>
    </row>
    <row r="59" spans="1:26" x14ac:dyDescent="0.3">
      <c r="A59" s="4" t="s">
        <v>138</v>
      </c>
      <c r="B59" s="1" t="s">
        <v>139</v>
      </c>
      <c r="C59" s="7">
        <v>45229</v>
      </c>
      <c r="D59" s="1">
        <v>1918</v>
      </c>
      <c r="E59" s="1">
        <v>9.01</v>
      </c>
      <c r="F59" s="1">
        <v>28</v>
      </c>
      <c r="G59" s="1">
        <v>3</v>
      </c>
      <c r="H59" s="1">
        <v>88</v>
      </c>
      <c r="I59" s="1">
        <v>6</v>
      </c>
      <c r="J59" s="1">
        <v>93.62</v>
      </c>
      <c r="K59" s="1">
        <v>13</v>
      </c>
      <c r="L59" s="1">
        <v>11</v>
      </c>
      <c r="M59" s="1">
        <v>31.748999999999999</v>
      </c>
      <c r="N59" s="1">
        <v>77</v>
      </c>
      <c r="O59" s="1">
        <v>5503</v>
      </c>
      <c r="P59" s="1">
        <v>264.13920000000002</v>
      </c>
      <c r="Q59" s="1">
        <v>174.93700000000001</v>
      </c>
      <c r="R59" s="5">
        <v>1.9907407407407408E-3</v>
      </c>
      <c r="S59" s="1">
        <v>51486</v>
      </c>
      <c r="T59" s="6">
        <v>9.14</v>
      </c>
      <c r="U59" s="1" t="str">
        <f>IF(ISNUMBER(SEARCH("Vande Bharat",Table1[[#This Row],[Video title]])),"Vande Bharat","Other")</f>
        <v>Other</v>
      </c>
    </row>
    <row r="60" spans="1:26" x14ac:dyDescent="0.3">
      <c r="A60" s="4" t="s">
        <v>140</v>
      </c>
      <c r="B60" s="1" t="s">
        <v>141</v>
      </c>
      <c r="C60" s="7">
        <v>44313</v>
      </c>
      <c r="D60" s="1">
        <v>134</v>
      </c>
      <c r="E60" s="1">
        <v>42.08</v>
      </c>
      <c r="F60" s="1">
        <v>11</v>
      </c>
      <c r="G60" s="1">
        <v>0</v>
      </c>
      <c r="H60" s="1">
        <v>56</v>
      </c>
      <c r="I60" s="1">
        <v>10</v>
      </c>
      <c r="J60" s="1">
        <v>84.85</v>
      </c>
      <c r="K60" s="1">
        <v>8</v>
      </c>
      <c r="L60" s="1">
        <v>12</v>
      </c>
      <c r="M60" s="1">
        <v>25.036000000000001</v>
      </c>
      <c r="N60" s="1">
        <v>77</v>
      </c>
      <c r="O60" s="1">
        <v>4500</v>
      </c>
      <c r="P60" s="1">
        <v>70.482200000000006</v>
      </c>
      <c r="Q60" s="1">
        <v>112.661</v>
      </c>
      <c r="R60" s="5">
        <v>6.4814814814814813E-4</v>
      </c>
      <c r="S60" s="1">
        <v>35908</v>
      </c>
      <c r="T60" s="6">
        <v>9.83</v>
      </c>
      <c r="U60" s="1" t="str">
        <f>IF(ISNUMBER(SEARCH("Vande Bharat",Table1[[#This Row],[Video title]])),"Vande Bharat","Other")</f>
        <v>Other</v>
      </c>
    </row>
    <row r="61" spans="1:26" x14ac:dyDescent="0.3">
      <c r="A61" s="4" t="s">
        <v>142</v>
      </c>
      <c r="B61" s="1" t="s">
        <v>143</v>
      </c>
      <c r="C61" s="7">
        <v>45611</v>
      </c>
      <c r="D61" s="1">
        <v>1529</v>
      </c>
      <c r="E61" s="1">
        <v>10.17</v>
      </c>
      <c r="F61" s="1">
        <v>13</v>
      </c>
      <c r="G61" s="1">
        <v>0</v>
      </c>
      <c r="H61" s="1">
        <v>58</v>
      </c>
      <c r="I61" s="1">
        <v>3</v>
      </c>
      <c r="J61" s="1">
        <v>95.08</v>
      </c>
      <c r="K61" s="1">
        <v>16</v>
      </c>
      <c r="L61" s="1">
        <v>8</v>
      </c>
      <c r="M61" s="1">
        <v>46.838999999999999</v>
      </c>
      <c r="N61" s="1">
        <v>325</v>
      </c>
      <c r="O61" s="1">
        <v>4925</v>
      </c>
      <c r="P61" s="1">
        <v>212.6593</v>
      </c>
      <c r="Q61" s="1">
        <v>230.25</v>
      </c>
      <c r="R61" s="5">
        <v>1.7939814814814815E-3</v>
      </c>
      <c r="S61" s="1">
        <v>49915</v>
      </c>
      <c r="T61" s="6">
        <v>8.08</v>
      </c>
      <c r="U61" s="1" t="str">
        <f>IF(ISNUMBER(SEARCH("Vande Bharat",Table1[[#This Row],[Video title]])),"Vande Bharat","Other")</f>
        <v>Other</v>
      </c>
    </row>
    <row r="62" spans="1:26" x14ac:dyDescent="0.3">
      <c r="A62" s="4" t="s">
        <v>144</v>
      </c>
      <c r="B62" s="1" t="s">
        <v>145</v>
      </c>
      <c r="C62" s="7">
        <v>45490</v>
      </c>
      <c r="D62" s="1">
        <v>18</v>
      </c>
      <c r="E62" s="1">
        <v>75.27</v>
      </c>
      <c r="F62" s="1">
        <v>5</v>
      </c>
      <c r="G62" s="1">
        <v>0</v>
      </c>
      <c r="H62" s="1">
        <v>58</v>
      </c>
      <c r="I62" s="1">
        <v>4</v>
      </c>
      <c r="J62" s="1">
        <v>93.55</v>
      </c>
      <c r="K62" s="1">
        <v>1</v>
      </c>
      <c r="L62" s="1">
        <v>0</v>
      </c>
      <c r="M62" s="1">
        <v>0.78100000000000003</v>
      </c>
      <c r="N62" s="1">
        <v>111</v>
      </c>
      <c r="O62" s="1">
        <v>4697</v>
      </c>
      <c r="P62" s="1">
        <v>16.0229</v>
      </c>
      <c r="Q62" s="1">
        <v>3.2850000000000001</v>
      </c>
      <c r="R62" s="5">
        <v>1.5046296296296297E-4</v>
      </c>
      <c r="S62" s="1">
        <v>14506</v>
      </c>
      <c r="T62" s="6">
        <v>4.12</v>
      </c>
      <c r="U62" s="1" t="str">
        <f>IF(ISNUMBER(SEARCH("Vande Bharat",Table1[[#This Row],[Video title]])),"Vande Bharat","Other")</f>
        <v>Other</v>
      </c>
    </row>
    <row r="63" spans="1:26" x14ac:dyDescent="0.3">
      <c r="A63" s="4" t="s">
        <v>146</v>
      </c>
      <c r="B63" s="1" t="s">
        <v>147</v>
      </c>
      <c r="C63" s="7">
        <v>45809</v>
      </c>
      <c r="D63" s="1">
        <v>488</v>
      </c>
      <c r="E63" s="1">
        <v>19.7</v>
      </c>
      <c r="F63" s="1">
        <v>12</v>
      </c>
      <c r="G63" s="1">
        <v>1</v>
      </c>
      <c r="H63" s="1">
        <v>48</v>
      </c>
      <c r="I63" s="1">
        <v>3</v>
      </c>
      <c r="J63" s="1">
        <v>94.12</v>
      </c>
      <c r="K63" s="1">
        <v>19</v>
      </c>
      <c r="L63" s="1">
        <v>4</v>
      </c>
      <c r="M63" s="1">
        <v>32.42</v>
      </c>
      <c r="N63" s="1">
        <v>187</v>
      </c>
      <c r="O63" s="1">
        <v>6607</v>
      </c>
      <c r="P63" s="1">
        <v>176.39599999999999</v>
      </c>
      <c r="Q63" s="1">
        <v>213.78800000000001</v>
      </c>
      <c r="R63" s="5">
        <v>1.1111111111111111E-3</v>
      </c>
      <c r="S63" s="1">
        <v>48251</v>
      </c>
      <c r="T63" s="6">
        <v>10.98</v>
      </c>
      <c r="U63" s="1" t="str">
        <f>IF(ISNUMBER(SEARCH("Vande Bharat",Table1[[#This Row],[Video title]])),"Vande Bharat","Other")</f>
        <v>Other</v>
      </c>
    </row>
    <row r="64" spans="1:26" x14ac:dyDescent="0.3">
      <c r="A64" s="4" t="s">
        <v>148</v>
      </c>
      <c r="B64" s="1" t="s">
        <v>149</v>
      </c>
      <c r="C64" s="7">
        <v>46018</v>
      </c>
      <c r="D64" s="1">
        <v>2706</v>
      </c>
      <c r="E64" s="1">
        <v>11.15</v>
      </c>
      <c r="F64" s="1">
        <v>27</v>
      </c>
      <c r="G64" s="1">
        <v>3</v>
      </c>
      <c r="H64" s="1">
        <v>148</v>
      </c>
      <c r="I64" s="1">
        <v>2</v>
      </c>
      <c r="J64" s="1">
        <v>98.67</v>
      </c>
      <c r="K64" s="1">
        <v>18</v>
      </c>
      <c r="L64" s="1">
        <v>17</v>
      </c>
      <c r="M64" s="1">
        <v>67.150999999999996</v>
      </c>
      <c r="N64" s="1">
        <v>218</v>
      </c>
      <c r="O64" s="1">
        <v>6045</v>
      </c>
      <c r="P64" s="1">
        <v>506.63330000000002</v>
      </c>
      <c r="Q64" s="1">
        <v>405.68099999999998</v>
      </c>
      <c r="R64" s="5">
        <v>3.4837962962962965E-3</v>
      </c>
      <c r="S64" s="1">
        <v>65399</v>
      </c>
      <c r="T64" s="6">
        <v>7.78</v>
      </c>
      <c r="U64" s="1" t="str">
        <f>IF(ISNUMBER(SEARCH("Vande Bharat",Table1[[#This Row],[Video title]])),"Vande Bharat","Other")</f>
        <v>Other</v>
      </c>
    </row>
    <row r="65" spans="1:21" x14ac:dyDescent="0.3">
      <c r="A65" s="4" t="s">
        <v>150</v>
      </c>
      <c r="B65" s="1" t="s">
        <v>151</v>
      </c>
      <c r="C65" s="7">
        <v>44309</v>
      </c>
      <c r="D65" s="1">
        <v>235</v>
      </c>
      <c r="E65" s="1">
        <v>37.450000000000003</v>
      </c>
      <c r="F65" s="1">
        <v>20</v>
      </c>
      <c r="G65" s="1">
        <v>2</v>
      </c>
      <c r="H65" s="1">
        <v>121</v>
      </c>
      <c r="I65" s="1">
        <v>4</v>
      </c>
      <c r="J65" s="1">
        <v>96.8</v>
      </c>
      <c r="K65" s="1">
        <v>15</v>
      </c>
      <c r="L65" s="1">
        <v>39</v>
      </c>
      <c r="M65" s="1">
        <v>22.998000000000001</v>
      </c>
      <c r="N65" s="1">
        <v>64</v>
      </c>
      <c r="O65" s="1">
        <v>4840</v>
      </c>
      <c r="P65" s="1">
        <v>118.30670000000001</v>
      </c>
      <c r="Q65" s="1">
        <v>111.31</v>
      </c>
      <c r="R65" s="5">
        <v>1.0069444444444444E-3</v>
      </c>
      <c r="S65" s="1">
        <v>57256</v>
      </c>
      <c r="T65" s="6">
        <v>5.77</v>
      </c>
      <c r="U65" s="1" t="str">
        <f>IF(ISNUMBER(SEARCH("Vande Bharat",Table1[[#This Row],[Video title]])),"Vande Bharat","Other")</f>
        <v>Other</v>
      </c>
    </row>
    <row r="66" spans="1:21" x14ac:dyDescent="0.3">
      <c r="A66" s="4" t="s">
        <v>910</v>
      </c>
      <c r="B66" s="1" t="s">
        <v>911</v>
      </c>
      <c r="C66" s="7">
        <v>45728</v>
      </c>
      <c r="D66" s="1">
        <v>111</v>
      </c>
      <c r="E66" s="1">
        <v>39.840000000000003</v>
      </c>
      <c r="F66" s="1">
        <v>0</v>
      </c>
      <c r="G66" s="1">
        <v>0</v>
      </c>
      <c r="H66" s="1">
        <v>13</v>
      </c>
      <c r="I66" s="1">
        <v>1</v>
      </c>
      <c r="J66" s="1">
        <v>92.86</v>
      </c>
      <c r="K66" s="1">
        <v>1</v>
      </c>
      <c r="L66" s="1">
        <v>4</v>
      </c>
      <c r="M66" s="1">
        <v>16.806999999999999</v>
      </c>
      <c r="N66" s="1">
        <v>44</v>
      </c>
      <c r="O66" s="1">
        <v>659</v>
      </c>
      <c r="P66" s="1">
        <v>8.0960000000000001</v>
      </c>
      <c r="Q66" s="1">
        <v>11.076000000000001</v>
      </c>
      <c r="R66" s="5">
        <v>5.0925925925925921E-4</v>
      </c>
      <c r="S66" s="1">
        <v>9543</v>
      </c>
      <c r="T66" s="6">
        <v>5.73</v>
      </c>
      <c r="U66" s="1" t="str">
        <f>IF(ISNUMBER(SEARCH("Vande Bharat",Table1[[#This Row],[Video title]])),"Vande Bharat","Other")</f>
        <v>Vande Bharat</v>
      </c>
    </row>
    <row r="67" spans="1:21" x14ac:dyDescent="0.3">
      <c r="A67" s="4" t="s">
        <v>154</v>
      </c>
      <c r="B67" s="1" t="s">
        <v>155</v>
      </c>
      <c r="C67" s="7">
        <v>45588</v>
      </c>
      <c r="D67" s="1">
        <v>13</v>
      </c>
      <c r="E67" s="1">
        <v>98.15</v>
      </c>
      <c r="F67" s="1">
        <v>10</v>
      </c>
      <c r="G67" s="1">
        <v>0</v>
      </c>
      <c r="H67" s="1">
        <v>50</v>
      </c>
      <c r="I67" s="1">
        <v>7</v>
      </c>
      <c r="J67" s="1">
        <v>87.72</v>
      </c>
      <c r="K67" s="1">
        <v>2</v>
      </c>
      <c r="L67" s="1">
        <v>1</v>
      </c>
      <c r="M67" s="1">
        <v>0.88500000000000001</v>
      </c>
      <c r="N67" s="1">
        <v>56</v>
      </c>
      <c r="O67" s="1">
        <v>4707</v>
      </c>
      <c r="P67" s="1">
        <v>14.4201</v>
      </c>
      <c r="Q67" s="1">
        <v>3.5590000000000002</v>
      </c>
      <c r="R67" s="5">
        <v>1.3888888888888889E-4</v>
      </c>
      <c r="S67" s="1">
        <v>10212</v>
      </c>
      <c r="T67" s="6">
        <v>5.08</v>
      </c>
      <c r="U67" s="1" t="str">
        <f>IF(ISNUMBER(SEARCH("Vande Bharat",Table1[[#This Row],[Video title]])),"Vande Bharat","Other")</f>
        <v>Other</v>
      </c>
    </row>
    <row r="68" spans="1:21" x14ac:dyDescent="0.3">
      <c r="A68" s="4" t="s">
        <v>82</v>
      </c>
      <c r="B68" s="1" t="s">
        <v>83</v>
      </c>
      <c r="C68" s="7">
        <v>45560</v>
      </c>
      <c r="D68" s="1">
        <v>30</v>
      </c>
      <c r="E68" s="1">
        <v>72.930000000000007</v>
      </c>
      <c r="F68" s="1">
        <v>15</v>
      </c>
      <c r="G68" s="1">
        <v>0</v>
      </c>
      <c r="H68" s="1">
        <v>95</v>
      </c>
      <c r="I68" s="1">
        <v>11</v>
      </c>
      <c r="J68" s="1">
        <v>89.62</v>
      </c>
      <c r="K68" s="1">
        <v>26</v>
      </c>
      <c r="L68" s="1">
        <v>1</v>
      </c>
      <c r="M68" s="1">
        <v>0.79400000000000004</v>
      </c>
      <c r="N68" s="1">
        <v>256</v>
      </c>
      <c r="O68" s="1">
        <v>12754</v>
      </c>
      <c r="P68" s="1">
        <v>51.328000000000003</v>
      </c>
      <c r="Q68" s="1">
        <v>6.5289999999999999</v>
      </c>
      <c r="R68" s="5">
        <v>2.4305555555555555E-4</v>
      </c>
      <c r="S68" s="1">
        <v>61262</v>
      </c>
      <c r="T68" s="6">
        <v>4.04</v>
      </c>
      <c r="U68" s="1" t="str">
        <f>IF(ISNUMBER(SEARCH("Vande Bharat",Table1[[#This Row],[Video title]])),"Vande Bharat","Other")</f>
        <v>Vande Bharat</v>
      </c>
    </row>
    <row r="69" spans="1:21" x14ac:dyDescent="0.3">
      <c r="A69" s="4" t="s">
        <v>158</v>
      </c>
      <c r="B69" s="1" t="s">
        <v>159</v>
      </c>
      <c r="C69" s="7">
        <v>45374</v>
      </c>
      <c r="D69" s="1">
        <v>3175</v>
      </c>
      <c r="E69" s="1">
        <v>8.64</v>
      </c>
      <c r="F69" s="1">
        <v>11</v>
      </c>
      <c r="G69" s="1">
        <v>3</v>
      </c>
      <c r="H69" s="1">
        <v>81</v>
      </c>
      <c r="I69" s="1">
        <v>2</v>
      </c>
      <c r="J69" s="1">
        <v>97.59</v>
      </c>
      <c r="K69" s="1">
        <v>7</v>
      </c>
      <c r="L69" s="1">
        <v>14</v>
      </c>
      <c r="M69" s="1">
        <v>48.284999999999997</v>
      </c>
      <c r="N69" s="1">
        <v>161</v>
      </c>
      <c r="O69" s="1">
        <v>4745</v>
      </c>
      <c r="P69" s="1">
        <v>361.73809999999997</v>
      </c>
      <c r="Q69" s="1">
        <v>229.04300000000001</v>
      </c>
      <c r="R69" s="5">
        <v>3.1712962962962962E-3</v>
      </c>
      <c r="S69" s="1">
        <v>51471</v>
      </c>
      <c r="T69" s="6">
        <v>7.63</v>
      </c>
      <c r="U69" s="1" t="str">
        <f>IF(ISNUMBER(SEARCH("Vande Bharat",Table1[[#This Row],[Video title]])),"Vande Bharat","Other")</f>
        <v>Other</v>
      </c>
    </row>
    <row r="70" spans="1:21" x14ac:dyDescent="0.3">
      <c r="A70" s="4" t="s">
        <v>160</v>
      </c>
      <c r="B70" s="1" t="s">
        <v>161</v>
      </c>
      <c r="C70" s="7">
        <v>45040</v>
      </c>
      <c r="D70" s="1">
        <v>206</v>
      </c>
      <c r="E70" s="1">
        <v>30.98</v>
      </c>
      <c r="F70" s="1">
        <v>7</v>
      </c>
      <c r="G70" s="1">
        <v>0</v>
      </c>
      <c r="H70" s="1">
        <v>67</v>
      </c>
      <c r="I70" s="1">
        <v>2</v>
      </c>
      <c r="J70" s="1">
        <v>97.1</v>
      </c>
      <c r="K70" s="1">
        <v>17</v>
      </c>
      <c r="L70" s="1">
        <v>5</v>
      </c>
      <c r="M70" s="1">
        <v>18.300999999999998</v>
      </c>
      <c r="N70" s="1">
        <v>72</v>
      </c>
      <c r="O70" s="1">
        <v>4697</v>
      </c>
      <c r="P70" s="1">
        <v>83.261700000000005</v>
      </c>
      <c r="Q70" s="1">
        <v>85.941000000000003</v>
      </c>
      <c r="R70" s="5">
        <v>7.291666666666667E-4</v>
      </c>
      <c r="S70" s="1">
        <v>38024</v>
      </c>
      <c r="T70" s="6">
        <v>10.56</v>
      </c>
      <c r="U70" s="1" t="str">
        <f>IF(ISNUMBER(SEARCH("Vande Bharat",Table1[[#This Row],[Video title]])),"Vande Bharat","Other")</f>
        <v>Other</v>
      </c>
    </row>
    <row r="71" spans="1:21" x14ac:dyDescent="0.3">
      <c r="A71" s="4" t="s">
        <v>162</v>
      </c>
      <c r="B71" s="1" t="s">
        <v>163</v>
      </c>
      <c r="C71" s="7">
        <v>45078</v>
      </c>
      <c r="D71" s="1">
        <v>541</v>
      </c>
      <c r="E71" s="1">
        <v>19.79</v>
      </c>
      <c r="F71" s="1">
        <v>18</v>
      </c>
      <c r="G71" s="1">
        <v>1</v>
      </c>
      <c r="H71" s="1">
        <v>77</v>
      </c>
      <c r="I71" s="1">
        <v>0</v>
      </c>
      <c r="J71" s="1">
        <v>100</v>
      </c>
      <c r="K71" s="1">
        <v>30</v>
      </c>
      <c r="L71" s="1">
        <v>6</v>
      </c>
      <c r="M71" s="1">
        <v>18.765999999999998</v>
      </c>
      <c r="N71" s="1">
        <v>163</v>
      </c>
      <c r="O71" s="1">
        <v>5912</v>
      </c>
      <c r="P71" s="1">
        <v>175.58699999999999</v>
      </c>
      <c r="Q71" s="1">
        <v>110.93</v>
      </c>
      <c r="R71" s="5">
        <v>1.2268518518518518E-3</v>
      </c>
      <c r="S71" s="1">
        <v>57891</v>
      </c>
      <c r="T71" s="6">
        <v>8.3699999999999992</v>
      </c>
      <c r="U71" s="1" t="str">
        <f>IF(ISNUMBER(SEARCH("Vande Bharat",Table1[[#This Row],[Video title]])),"Vande Bharat","Other")</f>
        <v>Other</v>
      </c>
    </row>
    <row r="72" spans="1:21" x14ac:dyDescent="0.3">
      <c r="A72" s="4" t="s">
        <v>164</v>
      </c>
      <c r="B72" s="1" t="s">
        <v>165</v>
      </c>
      <c r="C72" s="7">
        <v>45998</v>
      </c>
      <c r="D72" s="1">
        <v>48</v>
      </c>
      <c r="E72" s="1">
        <v>58.79</v>
      </c>
      <c r="F72" s="1">
        <v>3</v>
      </c>
      <c r="G72" s="1">
        <v>1</v>
      </c>
      <c r="H72" s="1">
        <v>55</v>
      </c>
      <c r="I72" s="1">
        <v>2</v>
      </c>
      <c r="J72" s="1">
        <v>96.49</v>
      </c>
      <c r="K72" s="1">
        <v>46</v>
      </c>
      <c r="L72" s="1">
        <v>6</v>
      </c>
      <c r="M72" s="1">
        <v>1.07</v>
      </c>
      <c r="N72" s="1">
        <v>456</v>
      </c>
      <c r="O72" s="1">
        <v>6449</v>
      </c>
      <c r="P72" s="1">
        <v>33.447400000000002</v>
      </c>
      <c r="Q72" s="1">
        <v>4.4669999999999996</v>
      </c>
      <c r="R72" s="5">
        <v>3.2407407407407406E-4</v>
      </c>
      <c r="S72" s="1">
        <v>25521</v>
      </c>
      <c r="T72" s="6">
        <v>9.2799999999999994</v>
      </c>
      <c r="U72" s="1" t="str">
        <f>IF(ISNUMBER(SEARCH("Vande Bharat",Table1[[#This Row],[Video title]])),"Vande Bharat","Other")</f>
        <v>Other</v>
      </c>
    </row>
    <row r="73" spans="1:21" x14ac:dyDescent="0.3">
      <c r="A73" s="4" t="s">
        <v>166</v>
      </c>
      <c r="B73" s="1" t="s">
        <v>167</v>
      </c>
      <c r="C73" s="7">
        <v>45175</v>
      </c>
      <c r="D73" s="1">
        <v>1030</v>
      </c>
      <c r="E73" s="1">
        <v>13.02</v>
      </c>
      <c r="F73" s="1">
        <v>10</v>
      </c>
      <c r="G73" s="1">
        <v>0</v>
      </c>
      <c r="H73" s="1">
        <v>84</v>
      </c>
      <c r="I73" s="1">
        <v>1</v>
      </c>
      <c r="J73" s="1">
        <v>98.82</v>
      </c>
      <c r="K73" s="1">
        <v>24</v>
      </c>
      <c r="L73" s="1">
        <v>11</v>
      </c>
      <c r="M73" s="1">
        <v>21.236999999999998</v>
      </c>
      <c r="N73" s="1">
        <v>60</v>
      </c>
      <c r="O73" s="1">
        <v>4574</v>
      </c>
      <c r="P73" s="1">
        <v>170.2595</v>
      </c>
      <c r="Q73" s="1">
        <v>97.146000000000001</v>
      </c>
      <c r="R73" s="5">
        <v>1.5509259259259259E-3</v>
      </c>
      <c r="S73" s="1">
        <v>45652</v>
      </c>
      <c r="T73" s="6">
        <v>8.4700000000000006</v>
      </c>
      <c r="U73" s="1" t="str">
        <f>IF(ISNUMBER(SEARCH("Vande Bharat",Table1[[#This Row],[Video title]])),"Vande Bharat","Other")</f>
        <v>Other</v>
      </c>
    </row>
    <row r="74" spans="1:21" x14ac:dyDescent="0.3">
      <c r="A74" s="4" t="s">
        <v>168</v>
      </c>
      <c r="B74" s="1" t="s">
        <v>169</v>
      </c>
      <c r="C74" s="7">
        <v>44159</v>
      </c>
      <c r="D74" s="1">
        <v>331</v>
      </c>
      <c r="E74" s="1">
        <v>34.69</v>
      </c>
      <c r="F74" s="1">
        <v>59</v>
      </c>
      <c r="G74" s="1">
        <v>2</v>
      </c>
      <c r="H74" s="1">
        <v>129</v>
      </c>
      <c r="I74" s="1">
        <v>3</v>
      </c>
      <c r="J74" s="1">
        <v>97.73</v>
      </c>
      <c r="K74" s="1">
        <v>12</v>
      </c>
      <c r="L74" s="1">
        <v>14</v>
      </c>
      <c r="M74" s="1">
        <v>1.27</v>
      </c>
      <c r="N74" s="1">
        <v>34</v>
      </c>
      <c r="O74" s="1">
        <v>5122</v>
      </c>
      <c r="P74" s="1">
        <v>163.3468</v>
      </c>
      <c r="Q74" s="1">
        <v>6.5060000000000002</v>
      </c>
      <c r="R74" s="5">
        <v>1.3194444444444445E-3</v>
      </c>
      <c r="S74" s="1">
        <v>56440</v>
      </c>
      <c r="T74" s="6">
        <v>6.67</v>
      </c>
      <c r="U74" s="1" t="str">
        <f>IF(ISNUMBER(SEARCH("Vande Bharat",Table1[[#This Row],[Video title]])),"Vande Bharat","Other")</f>
        <v>Other</v>
      </c>
    </row>
    <row r="75" spans="1:21" x14ac:dyDescent="0.3">
      <c r="A75" s="4" t="s">
        <v>170</v>
      </c>
      <c r="B75" s="1" t="s">
        <v>171</v>
      </c>
      <c r="C75" s="7">
        <v>45534</v>
      </c>
      <c r="D75" s="1">
        <v>3477</v>
      </c>
      <c r="E75" s="1">
        <v>10.02</v>
      </c>
      <c r="F75" s="1">
        <v>16</v>
      </c>
      <c r="G75" s="1">
        <v>3</v>
      </c>
      <c r="H75" s="1">
        <v>96</v>
      </c>
      <c r="I75" s="1">
        <v>3</v>
      </c>
      <c r="J75" s="1">
        <v>96.97</v>
      </c>
      <c r="K75" s="1">
        <v>14</v>
      </c>
      <c r="L75" s="1">
        <v>21</v>
      </c>
      <c r="M75" s="1">
        <v>54.679000000000002</v>
      </c>
      <c r="N75" s="1">
        <v>159</v>
      </c>
      <c r="O75" s="1">
        <v>4627</v>
      </c>
      <c r="P75" s="1">
        <v>447.81540000000001</v>
      </c>
      <c r="Q75" s="1">
        <v>253.08099999999999</v>
      </c>
      <c r="R75" s="5">
        <v>4.0277777777777777E-3</v>
      </c>
      <c r="S75" s="1">
        <v>55289</v>
      </c>
      <c r="T75" s="6">
        <v>6.91</v>
      </c>
      <c r="U75" s="1" t="str">
        <f>IF(ISNUMBER(SEARCH("Vande Bharat",Table1[[#This Row],[Video title]])),"Vande Bharat","Other")</f>
        <v>Other</v>
      </c>
    </row>
    <row r="76" spans="1:21" x14ac:dyDescent="0.3">
      <c r="A76" s="4" t="s">
        <v>440</v>
      </c>
      <c r="B76" s="1" t="s">
        <v>441</v>
      </c>
      <c r="C76" s="7">
        <v>45559</v>
      </c>
      <c r="D76" s="1">
        <v>366</v>
      </c>
      <c r="E76" s="1">
        <v>23.99</v>
      </c>
      <c r="F76" s="1">
        <v>4</v>
      </c>
      <c r="G76" s="1">
        <v>0</v>
      </c>
      <c r="H76" s="1">
        <v>41</v>
      </c>
      <c r="I76" s="1">
        <v>3</v>
      </c>
      <c r="J76" s="1">
        <v>93.18</v>
      </c>
      <c r="K76" s="1">
        <v>1</v>
      </c>
      <c r="L76" s="1">
        <v>6</v>
      </c>
      <c r="M76" s="1">
        <v>23.547000000000001</v>
      </c>
      <c r="N76" s="1">
        <v>64</v>
      </c>
      <c r="O76" s="1">
        <v>1740</v>
      </c>
      <c r="P76" s="1">
        <v>42.442100000000003</v>
      </c>
      <c r="Q76" s="1">
        <v>40.985999999999997</v>
      </c>
      <c r="R76" s="5">
        <v>1.0069444444444444E-3</v>
      </c>
      <c r="S76" s="1">
        <v>19199</v>
      </c>
      <c r="T76" s="6">
        <v>7.9</v>
      </c>
      <c r="U76" s="1" t="str">
        <f>IF(ISNUMBER(SEARCH("Vande Bharat",Table1[[#This Row],[Video title]])),"Vande Bharat","Other")</f>
        <v>Vande Bharat</v>
      </c>
    </row>
    <row r="77" spans="1:21" x14ac:dyDescent="0.3">
      <c r="A77" s="4" t="s">
        <v>174</v>
      </c>
      <c r="B77" s="1" t="s">
        <v>175</v>
      </c>
      <c r="C77" s="7">
        <v>44377</v>
      </c>
      <c r="D77" s="1">
        <v>275</v>
      </c>
      <c r="E77" s="1">
        <v>30.85</v>
      </c>
      <c r="F77" s="1">
        <v>13</v>
      </c>
      <c r="G77" s="1">
        <v>2</v>
      </c>
      <c r="H77" s="1">
        <v>101</v>
      </c>
      <c r="I77" s="1">
        <v>6</v>
      </c>
      <c r="J77" s="1">
        <v>94.39</v>
      </c>
      <c r="K77" s="1">
        <v>8</v>
      </c>
      <c r="L77" s="1">
        <v>32</v>
      </c>
      <c r="M77" s="1">
        <v>20.87</v>
      </c>
      <c r="N77" s="1">
        <v>43</v>
      </c>
      <c r="O77" s="1">
        <v>4337</v>
      </c>
      <c r="P77" s="1">
        <v>102.2154</v>
      </c>
      <c r="Q77" s="1">
        <v>90.512</v>
      </c>
      <c r="R77" s="5">
        <v>9.7222222222222219E-4</v>
      </c>
      <c r="S77" s="1">
        <v>44251</v>
      </c>
      <c r="T77" s="6">
        <v>6.72</v>
      </c>
      <c r="U77" s="1" t="str">
        <f>IF(ISNUMBER(SEARCH("Vande Bharat",Table1[[#This Row],[Video title]])),"Vande Bharat","Other")</f>
        <v>Other</v>
      </c>
    </row>
    <row r="78" spans="1:21" x14ac:dyDescent="0.3">
      <c r="A78" s="4" t="s">
        <v>176</v>
      </c>
      <c r="B78" s="1" t="s">
        <v>177</v>
      </c>
      <c r="C78" s="7">
        <v>45517</v>
      </c>
      <c r="D78" s="1">
        <v>15</v>
      </c>
      <c r="E78" s="1">
        <v>102.54</v>
      </c>
      <c r="F78" s="1">
        <v>6</v>
      </c>
      <c r="G78" s="1">
        <v>0</v>
      </c>
      <c r="H78" s="1">
        <v>44</v>
      </c>
      <c r="I78" s="1">
        <v>3</v>
      </c>
      <c r="J78" s="1">
        <v>93.62</v>
      </c>
      <c r="K78" s="1">
        <v>5</v>
      </c>
      <c r="L78" s="1">
        <v>1</v>
      </c>
      <c r="M78" s="1">
        <v>1.419</v>
      </c>
      <c r="N78" s="1">
        <v>86</v>
      </c>
      <c r="O78" s="1">
        <v>3596</v>
      </c>
      <c r="P78" s="1">
        <v>15.241</v>
      </c>
      <c r="Q78" s="1">
        <v>5.0579999999999998</v>
      </c>
      <c r="R78" s="5">
        <v>1.7361111111111112E-4</v>
      </c>
      <c r="S78" s="1">
        <v>2616</v>
      </c>
      <c r="T78" s="6">
        <v>5.2</v>
      </c>
      <c r="U78" s="1" t="str">
        <f>IF(ISNUMBER(SEARCH("Vande Bharat",Table1[[#This Row],[Video title]])),"Vande Bharat","Other")</f>
        <v>Other</v>
      </c>
    </row>
    <row r="79" spans="1:21" x14ac:dyDescent="0.3">
      <c r="A79" s="4" t="s">
        <v>178</v>
      </c>
      <c r="B79" s="1" t="s">
        <v>179</v>
      </c>
      <c r="C79" s="7">
        <v>44574</v>
      </c>
      <c r="D79" s="1">
        <v>790</v>
      </c>
      <c r="E79" s="1">
        <v>18.14</v>
      </c>
      <c r="F79" s="1">
        <v>13</v>
      </c>
      <c r="G79" s="1">
        <v>1</v>
      </c>
      <c r="H79" s="1">
        <v>98</v>
      </c>
      <c r="I79" s="1">
        <v>4</v>
      </c>
      <c r="J79" s="1">
        <v>96.08</v>
      </c>
      <c r="K79" s="1">
        <v>11</v>
      </c>
      <c r="L79" s="1">
        <v>16</v>
      </c>
      <c r="M79" s="1">
        <v>25.542999999999999</v>
      </c>
      <c r="N79" s="1">
        <v>74</v>
      </c>
      <c r="O79" s="1">
        <v>4502</v>
      </c>
      <c r="P79" s="1">
        <v>179.25299999999999</v>
      </c>
      <c r="Q79" s="1">
        <v>115.19</v>
      </c>
      <c r="R79" s="5">
        <v>1.6550925925925926E-3</v>
      </c>
      <c r="S79" s="1">
        <v>47852</v>
      </c>
      <c r="T79" s="6">
        <v>5.97</v>
      </c>
      <c r="U79" s="1" t="str">
        <f>IF(ISNUMBER(SEARCH("Vande Bharat",Table1[[#This Row],[Video title]])),"Vande Bharat","Other")</f>
        <v>Other</v>
      </c>
    </row>
    <row r="80" spans="1:21" x14ac:dyDescent="0.3">
      <c r="A80" s="4" t="s">
        <v>180</v>
      </c>
      <c r="B80" s="1" t="s">
        <v>181</v>
      </c>
      <c r="C80" s="7">
        <v>45600</v>
      </c>
      <c r="D80" s="1">
        <v>2268</v>
      </c>
      <c r="E80" s="1">
        <v>9.27</v>
      </c>
      <c r="F80" s="1">
        <v>7</v>
      </c>
      <c r="G80" s="1">
        <v>0</v>
      </c>
      <c r="H80" s="1">
        <v>44</v>
      </c>
      <c r="I80" s="1">
        <v>4</v>
      </c>
      <c r="J80" s="1">
        <v>91.67</v>
      </c>
      <c r="K80" s="1">
        <v>12</v>
      </c>
      <c r="L80" s="1">
        <v>7</v>
      </c>
      <c r="M80" s="1">
        <v>37.567</v>
      </c>
      <c r="N80" s="1">
        <v>123</v>
      </c>
      <c r="O80" s="1">
        <v>4433</v>
      </c>
      <c r="P80" s="1">
        <v>258.86500000000001</v>
      </c>
      <c r="Q80" s="1">
        <v>166.53</v>
      </c>
      <c r="R80" s="5">
        <v>2.4305555555555556E-3</v>
      </c>
      <c r="S80" s="1">
        <v>52424</v>
      </c>
      <c r="T80" s="6">
        <v>7.06</v>
      </c>
      <c r="U80" s="1" t="str">
        <f>IF(ISNUMBER(SEARCH("Vande Bharat",Table1[[#This Row],[Video title]])),"Vande Bharat","Other")</f>
        <v>Other</v>
      </c>
    </row>
    <row r="81" spans="1:21" x14ac:dyDescent="0.3">
      <c r="A81" s="4" t="s">
        <v>182</v>
      </c>
      <c r="B81" s="1" t="s">
        <v>183</v>
      </c>
      <c r="C81" s="7">
        <v>46123</v>
      </c>
      <c r="D81" s="1">
        <v>3262</v>
      </c>
      <c r="E81" s="1">
        <v>9.7100000000000009</v>
      </c>
      <c r="F81" s="1">
        <v>6</v>
      </c>
      <c r="G81" s="1">
        <v>0</v>
      </c>
      <c r="H81" s="1">
        <v>57</v>
      </c>
      <c r="I81" s="1">
        <v>3</v>
      </c>
      <c r="J81" s="1">
        <v>95</v>
      </c>
      <c r="K81" s="1">
        <v>9</v>
      </c>
      <c r="L81" s="1">
        <v>13</v>
      </c>
      <c r="M81" s="1">
        <v>99.472999999999999</v>
      </c>
      <c r="N81" s="1">
        <v>448</v>
      </c>
      <c r="O81" s="1">
        <v>4314</v>
      </c>
      <c r="P81" s="1">
        <v>379.72669999999999</v>
      </c>
      <c r="Q81" s="1">
        <v>429.61099999999999</v>
      </c>
      <c r="R81" s="5">
        <v>3.6574074074074074E-3</v>
      </c>
      <c r="S81" s="1">
        <v>48424</v>
      </c>
      <c r="T81" s="6">
        <v>6.46</v>
      </c>
      <c r="U81" s="1" t="str">
        <f>IF(ISNUMBER(SEARCH("Vande Bharat",Table1[[#This Row],[Video title]])),"Vande Bharat","Other")</f>
        <v>Other</v>
      </c>
    </row>
    <row r="82" spans="1:21" x14ac:dyDescent="0.3">
      <c r="A82" s="4" t="s">
        <v>184</v>
      </c>
      <c r="B82" s="1" t="s">
        <v>185</v>
      </c>
      <c r="C82" s="7">
        <v>45116</v>
      </c>
      <c r="D82" s="1">
        <v>200</v>
      </c>
      <c r="E82" s="1">
        <v>26.99</v>
      </c>
      <c r="F82" s="1">
        <v>9</v>
      </c>
      <c r="G82" s="1">
        <v>2</v>
      </c>
      <c r="H82" s="1">
        <v>32</v>
      </c>
      <c r="I82" s="1">
        <v>0</v>
      </c>
      <c r="J82" s="1">
        <v>100</v>
      </c>
      <c r="K82" s="1">
        <v>30</v>
      </c>
      <c r="L82" s="1">
        <v>1</v>
      </c>
      <c r="M82" s="1">
        <v>13.503</v>
      </c>
      <c r="N82" s="1">
        <v>50</v>
      </c>
      <c r="O82" s="1">
        <v>4096</v>
      </c>
      <c r="P82" s="1">
        <v>61.415399999999998</v>
      </c>
      <c r="Q82" s="1">
        <v>55.226999999999997</v>
      </c>
      <c r="R82" s="5">
        <v>6.134259259259259E-4</v>
      </c>
      <c r="S82" s="1">
        <v>35112</v>
      </c>
      <c r="T82" s="6">
        <v>10.039999999999999</v>
      </c>
      <c r="U82" s="1" t="str">
        <f>IF(ISNUMBER(SEARCH("Vande Bharat",Table1[[#This Row],[Video title]])),"Vande Bharat","Other")</f>
        <v>Other</v>
      </c>
    </row>
    <row r="83" spans="1:21" x14ac:dyDescent="0.3">
      <c r="A83" s="4" t="s">
        <v>186</v>
      </c>
      <c r="B83" s="1" t="s">
        <v>187</v>
      </c>
      <c r="C83" s="7">
        <v>44726</v>
      </c>
      <c r="D83" s="1">
        <v>1113</v>
      </c>
      <c r="E83" s="1">
        <v>12.61</v>
      </c>
      <c r="F83" s="1">
        <v>17</v>
      </c>
      <c r="G83" s="1">
        <v>3</v>
      </c>
      <c r="H83" s="1">
        <v>95</v>
      </c>
      <c r="I83" s="1">
        <v>2</v>
      </c>
      <c r="J83" s="1">
        <v>97.94</v>
      </c>
      <c r="K83" s="1">
        <v>4</v>
      </c>
      <c r="L83" s="1">
        <v>25</v>
      </c>
      <c r="M83" s="1">
        <v>26.779</v>
      </c>
      <c r="N83" s="1">
        <v>48</v>
      </c>
      <c r="O83" s="1">
        <v>4127</v>
      </c>
      <c r="P83" s="1">
        <v>160.8552</v>
      </c>
      <c r="Q83" s="1">
        <v>110.517</v>
      </c>
      <c r="R83" s="5">
        <v>1.6203703703703703E-3</v>
      </c>
      <c r="S83" s="1">
        <v>42738</v>
      </c>
      <c r="T83" s="6">
        <v>8.89</v>
      </c>
      <c r="U83" s="1" t="str">
        <f>IF(ISNUMBER(SEARCH("Vande Bharat",Table1[[#This Row],[Video title]])),"Vande Bharat","Other")</f>
        <v>Other</v>
      </c>
    </row>
    <row r="84" spans="1:21" x14ac:dyDescent="0.3">
      <c r="A84" s="4" t="s">
        <v>188</v>
      </c>
      <c r="B84" s="1" t="s">
        <v>189</v>
      </c>
      <c r="C84" s="7">
        <v>44728</v>
      </c>
      <c r="D84" s="1">
        <v>188</v>
      </c>
      <c r="E84" s="1">
        <v>32.28</v>
      </c>
      <c r="F84" s="1">
        <v>6</v>
      </c>
      <c r="G84" s="1">
        <v>2</v>
      </c>
      <c r="H84" s="1">
        <v>87</v>
      </c>
      <c r="I84" s="1">
        <v>2</v>
      </c>
      <c r="J84" s="1">
        <v>97.75</v>
      </c>
      <c r="K84" s="1">
        <v>13</v>
      </c>
      <c r="L84" s="1">
        <v>16</v>
      </c>
      <c r="M84" s="1">
        <v>16.683</v>
      </c>
      <c r="N84" s="1">
        <v>58</v>
      </c>
      <c r="O84" s="1">
        <v>3833</v>
      </c>
      <c r="P84" s="1">
        <v>64.612300000000005</v>
      </c>
      <c r="Q84" s="1">
        <v>63.932000000000002</v>
      </c>
      <c r="R84" s="5">
        <v>6.9444444444444447E-4</v>
      </c>
      <c r="S84" s="1">
        <v>22297</v>
      </c>
      <c r="T84" s="6">
        <v>15.68</v>
      </c>
      <c r="U84" s="1" t="str">
        <f>IF(ISNUMBER(SEARCH("Vande Bharat",Table1[[#This Row],[Video title]])),"Vande Bharat","Other")</f>
        <v>Other</v>
      </c>
    </row>
    <row r="85" spans="1:21" x14ac:dyDescent="0.3">
      <c r="A85" s="4" t="s">
        <v>190</v>
      </c>
      <c r="B85" s="1" t="s">
        <v>191</v>
      </c>
      <c r="C85" s="7">
        <v>44164</v>
      </c>
      <c r="D85" s="1">
        <v>421</v>
      </c>
      <c r="E85" s="1">
        <v>33.82</v>
      </c>
      <c r="F85" s="1">
        <v>76</v>
      </c>
      <c r="G85" s="1">
        <v>5</v>
      </c>
      <c r="H85" s="1">
        <v>154</v>
      </c>
      <c r="I85" s="1">
        <v>6</v>
      </c>
      <c r="J85" s="1">
        <v>96.25</v>
      </c>
      <c r="K85" s="1">
        <v>15</v>
      </c>
      <c r="L85" s="1">
        <v>19</v>
      </c>
      <c r="M85" s="1">
        <v>1.601</v>
      </c>
      <c r="N85" s="1">
        <v>43</v>
      </c>
      <c r="O85" s="1">
        <v>4948</v>
      </c>
      <c r="P85" s="1">
        <v>195.68520000000001</v>
      </c>
      <c r="Q85" s="1">
        <v>7.923</v>
      </c>
      <c r="R85" s="5">
        <v>1.6435185185185185E-3</v>
      </c>
      <c r="S85" s="1">
        <v>54133</v>
      </c>
      <c r="T85" s="6">
        <v>6.07</v>
      </c>
      <c r="U85" s="1" t="str">
        <f>IF(ISNUMBER(SEARCH("Vande Bharat",Table1[[#This Row],[Video title]])),"Vande Bharat","Other")</f>
        <v>Other</v>
      </c>
    </row>
    <row r="86" spans="1:21" x14ac:dyDescent="0.3">
      <c r="A86" s="4" t="s">
        <v>192</v>
      </c>
      <c r="B86" s="1" t="s">
        <v>193</v>
      </c>
      <c r="C86" s="7">
        <v>45525</v>
      </c>
      <c r="D86" s="1">
        <v>37</v>
      </c>
      <c r="E86" s="1">
        <v>55.22</v>
      </c>
      <c r="F86" s="1">
        <v>5</v>
      </c>
      <c r="G86" s="1">
        <v>0</v>
      </c>
      <c r="H86" s="1">
        <v>80</v>
      </c>
      <c r="I86" s="1">
        <v>3</v>
      </c>
      <c r="J86" s="1">
        <v>96.39</v>
      </c>
      <c r="K86" s="1">
        <v>3</v>
      </c>
      <c r="L86" s="1">
        <v>0</v>
      </c>
      <c r="M86" s="1">
        <v>1.212</v>
      </c>
      <c r="N86" s="1">
        <v>80</v>
      </c>
      <c r="O86" s="1">
        <v>3582</v>
      </c>
      <c r="P86" s="1">
        <v>20.010300000000001</v>
      </c>
      <c r="Q86" s="1">
        <v>4.2709999999999999</v>
      </c>
      <c r="R86" s="5">
        <v>2.3148148148148149E-4</v>
      </c>
      <c r="S86" s="1">
        <v>4800</v>
      </c>
      <c r="T86" s="6">
        <v>4.6500000000000004</v>
      </c>
      <c r="U86" s="1" t="str">
        <f>IF(ISNUMBER(SEARCH("Vande Bharat",Table1[[#This Row],[Video title]])),"Vande Bharat","Other")</f>
        <v>Other</v>
      </c>
    </row>
    <row r="87" spans="1:21" x14ac:dyDescent="0.3">
      <c r="A87" s="4" t="s">
        <v>194</v>
      </c>
      <c r="B87" s="1" t="s">
        <v>195</v>
      </c>
      <c r="C87" s="7">
        <v>45381</v>
      </c>
      <c r="D87" s="1">
        <v>1292</v>
      </c>
      <c r="E87" s="1">
        <v>17.14</v>
      </c>
      <c r="F87" s="1">
        <v>16</v>
      </c>
      <c r="G87" s="1">
        <v>0</v>
      </c>
      <c r="H87" s="1">
        <v>88</v>
      </c>
      <c r="I87" s="1">
        <v>6</v>
      </c>
      <c r="J87" s="1">
        <v>93.62</v>
      </c>
      <c r="K87" s="1">
        <v>16</v>
      </c>
      <c r="L87" s="1">
        <v>15</v>
      </c>
      <c r="M87" s="1">
        <v>37.168999999999997</v>
      </c>
      <c r="N87" s="1">
        <v>161</v>
      </c>
      <c r="O87" s="1">
        <v>4657</v>
      </c>
      <c r="P87" s="1">
        <v>286.3313</v>
      </c>
      <c r="Q87" s="1">
        <v>173.054</v>
      </c>
      <c r="R87" s="5">
        <v>2.5578703703703705E-3</v>
      </c>
      <c r="S87" s="1">
        <v>41882</v>
      </c>
      <c r="T87" s="6">
        <v>9.09</v>
      </c>
      <c r="U87" s="1" t="str">
        <f>IF(ISNUMBER(SEARCH("Vande Bharat",Table1[[#This Row],[Video title]])),"Vande Bharat","Other")</f>
        <v>Other</v>
      </c>
    </row>
    <row r="88" spans="1:21" x14ac:dyDescent="0.3">
      <c r="A88" s="4" t="s">
        <v>196</v>
      </c>
      <c r="B88" s="1" t="s">
        <v>197</v>
      </c>
      <c r="C88" s="7">
        <v>44557</v>
      </c>
      <c r="D88" s="1">
        <v>85</v>
      </c>
      <c r="E88" s="1">
        <v>53.26</v>
      </c>
      <c r="F88" s="1">
        <v>19</v>
      </c>
      <c r="G88" s="1">
        <v>2</v>
      </c>
      <c r="H88" s="1">
        <v>103</v>
      </c>
      <c r="I88" s="1">
        <v>2</v>
      </c>
      <c r="J88" s="1">
        <v>98.1</v>
      </c>
      <c r="K88" s="1">
        <v>24</v>
      </c>
      <c r="L88" s="1">
        <v>35</v>
      </c>
      <c r="M88" s="1">
        <v>30.658000000000001</v>
      </c>
      <c r="N88" s="1">
        <v>66</v>
      </c>
      <c r="O88" s="1">
        <v>4147</v>
      </c>
      <c r="P88" s="1">
        <v>52.148299999999999</v>
      </c>
      <c r="Q88" s="1">
        <v>127.137</v>
      </c>
      <c r="R88" s="5">
        <v>5.2083333333333333E-4</v>
      </c>
      <c r="S88" s="1">
        <v>30346</v>
      </c>
      <c r="T88" s="6">
        <v>8.34</v>
      </c>
      <c r="U88" s="1" t="str">
        <f>IF(ISNUMBER(SEARCH("Vande Bharat",Table1[[#This Row],[Video title]])),"Vande Bharat","Other")</f>
        <v>Other</v>
      </c>
    </row>
    <row r="89" spans="1:21" x14ac:dyDescent="0.3">
      <c r="A89" s="4" t="s">
        <v>198</v>
      </c>
      <c r="B89" s="1" t="s">
        <v>199</v>
      </c>
      <c r="C89" s="7">
        <v>45817</v>
      </c>
      <c r="D89" s="1">
        <v>458</v>
      </c>
      <c r="E89" s="1">
        <v>17.309999999999999</v>
      </c>
      <c r="F89" s="1">
        <v>8</v>
      </c>
      <c r="G89" s="1">
        <v>2</v>
      </c>
      <c r="H89" s="1">
        <v>35</v>
      </c>
      <c r="I89" s="1">
        <v>2</v>
      </c>
      <c r="J89" s="1">
        <v>94.59</v>
      </c>
      <c r="K89" s="1">
        <v>24</v>
      </c>
      <c r="L89" s="1">
        <v>3</v>
      </c>
      <c r="M89" s="1">
        <v>19.420999999999999</v>
      </c>
      <c r="N89" s="1">
        <v>104</v>
      </c>
      <c r="O89" s="1">
        <v>3766</v>
      </c>
      <c r="P89" s="1">
        <v>82.946200000000005</v>
      </c>
      <c r="Q89" s="1">
        <v>73.117000000000004</v>
      </c>
      <c r="R89" s="5">
        <v>9.1435185185185185E-4</v>
      </c>
      <c r="S89" s="1">
        <v>41718</v>
      </c>
      <c r="T89" s="6">
        <v>8.23</v>
      </c>
      <c r="U89" s="1" t="str">
        <f>IF(ISNUMBER(SEARCH("Vande Bharat",Table1[[#This Row],[Video title]])),"Vande Bharat","Other")</f>
        <v>Other</v>
      </c>
    </row>
    <row r="90" spans="1:21" x14ac:dyDescent="0.3">
      <c r="A90" s="4" t="s">
        <v>200</v>
      </c>
      <c r="B90" s="1" t="s">
        <v>201</v>
      </c>
      <c r="C90" s="7">
        <v>46103</v>
      </c>
      <c r="D90" s="1">
        <v>1163</v>
      </c>
      <c r="E90" s="1">
        <v>12.91</v>
      </c>
      <c r="F90" s="1">
        <v>7</v>
      </c>
      <c r="G90" s="1">
        <v>1</v>
      </c>
      <c r="H90" s="1">
        <v>74</v>
      </c>
      <c r="I90" s="1">
        <v>3</v>
      </c>
      <c r="J90" s="1">
        <v>96.1</v>
      </c>
      <c r="K90" s="1">
        <v>8</v>
      </c>
      <c r="L90" s="1">
        <v>9</v>
      </c>
      <c r="M90" s="1">
        <v>82.614999999999995</v>
      </c>
      <c r="N90" s="1">
        <v>306</v>
      </c>
      <c r="O90" s="1">
        <v>3895</v>
      </c>
      <c r="P90" s="1">
        <v>162.43620000000001</v>
      </c>
      <c r="Q90" s="1">
        <v>315.488</v>
      </c>
      <c r="R90" s="5">
        <v>1.736111111111111E-3</v>
      </c>
      <c r="S90" s="1">
        <v>55192</v>
      </c>
      <c r="T90" s="6">
        <v>6</v>
      </c>
      <c r="U90" s="1" t="str">
        <f>IF(ISNUMBER(SEARCH("Vande Bharat",Table1[[#This Row],[Video title]])),"Vande Bharat","Other")</f>
        <v>Other</v>
      </c>
    </row>
    <row r="91" spans="1:21" x14ac:dyDescent="0.3">
      <c r="A91" s="4" t="s">
        <v>594</v>
      </c>
      <c r="B91" s="1" t="s">
        <v>595</v>
      </c>
      <c r="C91" s="7">
        <v>45557</v>
      </c>
      <c r="D91" s="1">
        <v>8</v>
      </c>
      <c r="E91" s="1">
        <v>131</v>
      </c>
      <c r="F91" s="1">
        <v>2</v>
      </c>
      <c r="G91" s="1">
        <v>0</v>
      </c>
      <c r="H91" s="1">
        <v>25</v>
      </c>
      <c r="I91" s="1">
        <v>1</v>
      </c>
      <c r="J91" s="1">
        <v>96.15</v>
      </c>
      <c r="K91" s="1">
        <v>1</v>
      </c>
      <c r="L91" s="1">
        <v>1</v>
      </c>
      <c r="M91" s="1">
        <v>0.872</v>
      </c>
      <c r="N91" s="1">
        <v>51</v>
      </c>
      <c r="O91" s="1">
        <v>1223</v>
      </c>
      <c r="P91" s="1">
        <v>3.1825999999999999</v>
      </c>
      <c r="Q91" s="1">
        <v>0.94599999999999995</v>
      </c>
      <c r="R91" s="5">
        <v>1.1574074074074075E-4</v>
      </c>
      <c r="S91" s="1">
        <v>4273</v>
      </c>
      <c r="T91" s="6">
        <v>3.93</v>
      </c>
      <c r="U91" s="1" t="str">
        <f>IF(ISNUMBER(SEARCH("Vande Bharat",Table1[[#This Row],[Video title]])),"Vande Bharat","Other")</f>
        <v>Vande Bharat</v>
      </c>
    </row>
    <row r="92" spans="1:21" x14ac:dyDescent="0.3">
      <c r="A92" s="4" t="s">
        <v>204</v>
      </c>
      <c r="B92" s="1" t="s">
        <v>205</v>
      </c>
      <c r="C92" s="7">
        <v>44295</v>
      </c>
      <c r="D92" s="1">
        <v>347</v>
      </c>
      <c r="E92" s="1">
        <v>25.91</v>
      </c>
      <c r="F92" s="1">
        <v>15</v>
      </c>
      <c r="G92" s="1">
        <v>0</v>
      </c>
      <c r="H92" s="1">
        <v>71</v>
      </c>
      <c r="I92" s="1">
        <v>1</v>
      </c>
      <c r="J92" s="1">
        <v>98.61</v>
      </c>
      <c r="K92" s="1">
        <v>8</v>
      </c>
      <c r="L92" s="1">
        <v>28</v>
      </c>
      <c r="M92" s="1">
        <v>2.1579999999999999</v>
      </c>
      <c r="N92" s="1">
        <v>34</v>
      </c>
      <c r="O92" s="1">
        <v>3718</v>
      </c>
      <c r="P92" s="1">
        <v>92.8399</v>
      </c>
      <c r="Q92" s="1">
        <v>8.0229999999999997</v>
      </c>
      <c r="R92" s="5">
        <v>1.0300925925925926E-3</v>
      </c>
      <c r="S92" s="1">
        <v>48390</v>
      </c>
      <c r="T92" s="6">
        <v>5.76</v>
      </c>
      <c r="U92" s="1" t="str">
        <f>IF(ISNUMBER(SEARCH("Vande Bharat",Table1[[#This Row],[Video title]])),"Vande Bharat","Other")</f>
        <v>Other</v>
      </c>
    </row>
    <row r="93" spans="1:21" x14ac:dyDescent="0.3">
      <c r="A93" s="4" t="s">
        <v>206</v>
      </c>
      <c r="B93" s="1" t="s">
        <v>207</v>
      </c>
      <c r="C93" s="7">
        <v>44267</v>
      </c>
      <c r="D93" s="1">
        <v>312</v>
      </c>
      <c r="E93" s="1">
        <v>46.75</v>
      </c>
      <c r="F93" s="1">
        <v>50</v>
      </c>
      <c r="G93" s="1">
        <v>6</v>
      </c>
      <c r="H93" s="1">
        <v>158</v>
      </c>
      <c r="I93" s="1">
        <v>7</v>
      </c>
      <c r="J93" s="1">
        <v>95.76</v>
      </c>
      <c r="K93" s="1">
        <v>12</v>
      </c>
      <c r="L93" s="1">
        <v>30</v>
      </c>
      <c r="M93" s="1">
        <v>9.5830000000000002</v>
      </c>
      <c r="N93" s="1">
        <v>58</v>
      </c>
      <c r="O93" s="1">
        <v>4256</v>
      </c>
      <c r="P93" s="1">
        <v>172.45150000000001</v>
      </c>
      <c r="Q93" s="1">
        <v>40.783999999999999</v>
      </c>
      <c r="R93" s="5">
        <v>1.6782407407407408E-3</v>
      </c>
      <c r="S93" s="1">
        <v>58776</v>
      </c>
      <c r="T93" s="6">
        <v>5.48</v>
      </c>
      <c r="U93" s="1" t="str">
        <f>IF(ISNUMBER(SEARCH("Vande Bharat",Table1[[#This Row],[Video title]])),"Vande Bharat","Other")</f>
        <v>Other</v>
      </c>
    </row>
    <row r="94" spans="1:21" x14ac:dyDescent="0.3">
      <c r="A94" s="4" t="s">
        <v>208</v>
      </c>
      <c r="B94" s="1" t="s">
        <v>209</v>
      </c>
      <c r="C94" s="7">
        <v>45444</v>
      </c>
      <c r="D94" s="1">
        <v>19</v>
      </c>
      <c r="E94" s="1">
        <v>83.8</v>
      </c>
      <c r="F94" s="1">
        <v>13</v>
      </c>
      <c r="G94" s="1">
        <v>0</v>
      </c>
      <c r="H94" s="1">
        <v>62</v>
      </c>
      <c r="I94" s="1">
        <v>4</v>
      </c>
      <c r="J94" s="1">
        <v>93.94</v>
      </c>
      <c r="K94" s="1">
        <v>8</v>
      </c>
      <c r="L94" s="1">
        <v>0</v>
      </c>
      <c r="M94" s="1">
        <v>0.318</v>
      </c>
      <c r="N94" s="1">
        <v>226</v>
      </c>
      <c r="O94" s="1">
        <v>4231</v>
      </c>
      <c r="P94" s="1">
        <v>15.350199999999999</v>
      </c>
      <c r="Q94" s="1">
        <v>1.085</v>
      </c>
      <c r="R94" s="5">
        <v>1.7361111111111112E-4</v>
      </c>
      <c r="S94" s="1">
        <v>8755</v>
      </c>
      <c r="T94" s="6">
        <v>3.62</v>
      </c>
      <c r="U94" s="1" t="str">
        <f>IF(ISNUMBER(SEARCH("Vande Bharat",Table1[[#This Row],[Video title]])),"Vande Bharat","Other")</f>
        <v>Other</v>
      </c>
    </row>
    <row r="95" spans="1:21" x14ac:dyDescent="0.3">
      <c r="A95" s="4" t="s">
        <v>210</v>
      </c>
      <c r="B95" s="1" t="s">
        <v>211</v>
      </c>
      <c r="C95" s="7">
        <v>44787</v>
      </c>
      <c r="D95" s="1">
        <v>115</v>
      </c>
      <c r="E95" s="1">
        <v>40.06</v>
      </c>
      <c r="F95" s="1">
        <v>8</v>
      </c>
      <c r="G95" s="1">
        <v>0</v>
      </c>
      <c r="H95" s="1">
        <v>64</v>
      </c>
      <c r="I95" s="1">
        <v>0</v>
      </c>
      <c r="J95" s="1">
        <v>100</v>
      </c>
      <c r="K95" s="1">
        <v>14</v>
      </c>
      <c r="L95" s="1">
        <v>21</v>
      </c>
      <c r="M95" s="1">
        <v>12.733000000000001</v>
      </c>
      <c r="N95" s="1">
        <v>102</v>
      </c>
      <c r="O95" s="1">
        <v>3619</v>
      </c>
      <c r="P95" s="1">
        <v>46.3123</v>
      </c>
      <c r="Q95" s="1">
        <v>46.081000000000003</v>
      </c>
      <c r="R95" s="5">
        <v>5.3240740740740744E-4</v>
      </c>
      <c r="S95" s="1">
        <v>20150</v>
      </c>
      <c r="T95" s="6">
        <v>15.84</v>
      </c>
      <c r="U95" s="1" t="str">
        <f>IF(ISNUMBER(SEARCH("Vande Bharat",Table1[[#This Row],[Video title]])),"Vande Bharat","Other")</f>
        <v>Other</v>
      </c>
    </row>
    <row r="96" spans="1:21" x14ac:dyDescent="0.3">
      <c r="A96" s="4" t="s">
        <v>212</v>
      </c>
      <c r="B96" s="1" t="s">
        <v>213</v>
      </c>
      <c r="C96" s="7">
        <v>43532</v>
      </c>
      <c r="D96" s="1">
        <v>64</v>
      </c>
      <c r="E96" s="1">
        <v>48.98</v>
      </c>
      <c r="F96" s="1">
        <v>14</v>
      </c>
      <c r="G96" s="1">
        <v>0</v>
      </c>
      <c r="H96" s="1">
        <v>108</v>
      </c>
      <c r="I96" s="1">
        <v>2</v>
      </c>
      <c r="J96" s="1">
        <v>98.18</v>
      </c>
      <c r="K96" s="1">
        <v>18</v>
      </c>
      <c r="L96" s="1">
        <v>10</v>
      </c>
      <c r="M96" s="1">
        <v>0.95399999999999996</v>
      </c>
      <c r="N96" s="1">
        <v>12</v>
      </c>
      <c r="O96" s="1">
        <v>3646</v>
      </c>
      <c r="P96" s="1">
        <v>31.751000000000001</v>
      </c>
      <c r="Q96" s="1">
        <v>3.4790000000000001</v>
      </c>
      <c r="R96" s="5">
        <v>3.5879629629629629E-4</v>
      </c>
      <c r="S96" s="1">
        <v>49745</v>
      </c>
      <c r="T96" s="6">
        <v>5.95</v>
      </c>
      <c r="U96" s="1" t="str">
        <f>IF(ISNUMBER(SEARCH("Vande Bharat",Table1[[#This Row],[Video title]])),"Vande Bharat","Other")</f>
        <v>Other</v>
      </c>
    </row>
    <row r="97" spans="1:21" x14ac:dyDescent="0.3">
      <c r="A97" s="4" t="s">
        <v>214</v>
      </c>
      <c r="B97" s="1" t="s">
        <v>215</v>
      </c>
      <c r="C97" s="7">
        <v>45270</v>
      </c>
      <c r="D97" s="1">
        <v>2019</v>
      </c>
      <c r="E97" s="1">
        <v>13.46</v>
      </c>
      <c r="F97" s="1">
        <v>18</v>
      </c>
      <c r="G97" s="1">
        <v>1</v>
      </c>
      <c r="H97" s="1">
        <v>75</v>
      </c>
      <c r="I97" s="1">
        <v>3</v>
      </c>
      <c r="J97" s="1">
        <v>96.15</v>
      </c>
      <c r="K97" s="1">
        <v>8</v>
      </c>
      <c r="L97" s="1">
        <v>7</v>
      </c>
      <c r="M97" s="1">
        <v>41.533000000000001</v>
      </c>
      <c r="N97" s="1">
        <v>86</v>
      </c>
      <c r="O97" s="1">
        <v>4207</v>
      </c>
      <c r="P97" s="1">
        <v>317.48520000000002</v>
      </c>
      <c r="Q97" s="1">
        <v>174.595</v>
      </c>
      <c r="R97" s="5">
        <v>3.1365740740740742E-3</v>
      </c>
      <c r="S97" s="1">
        <v>40378</v>
      </c>
      <c r="T97" s="6">
        <v>8.48</v>
      </c>
      <c r="U97" s="1" t="str">
        <f>IF(ISNUMBER(SEARCH("Vande Bharat",Table1[[#This Row],[Video title]])),"Vande Bharat","Other")</f>
        <v>Other</v>
      </c>
    </row>
    <row r="98" spans="1:21" x14ac:dyDescent="0.3">
      <c r="A98" s="4" t="s">
        <v>216</v>
      </c>
      <c r="B98" s="1" t="s">
        <v>217</v>
      </c>
      <c r="C98" s="7">
        <v>44134</v>
      </c>
      <c r="D98" s="1">
        <v>291</v>
      </c>
      <c r="E98" s="1">
        <v>19.63</v>
      </c>
      <c r="F98" s="1">
        <v>10</v>
      </c>
      <c r="G98" s="1">
        <v>0</v>
      </c>
      <c r="H98" s="1">
        <v>31</v>
      </c>
      <c r="I98" s="1">
        <v>4</v>
      </c>
      <c r="J98" s="1">
        <v>88.57</v>
      </c>
      <c r="K98" s="1">
        <v>12</v>
      </c>
      <c r="L98" s="1">
        <v>7</v>
      </c>
      <c r="M98" s="1">
        <v>2.9350000000000001</v>
      </c>
      <c r="N98" s="1">
        <v>10</v>
      </c>
      <c r="O98" s="1">
        <v>3669</v>
      </c>
      <c r="P98" s="1">
        <v>58.2057</v>
      </c>
      <c r="Q98" s="1">
        <v>10.768000000000001</v>
      </c>
      <c r="R98" s="5">
        <v>6.5972222222222224E-4</v>
      </c>
      <c r="S98" s="1">
        <v>14773</v>
      </c>
      <c r="T98" s="6">
        <v>4.3</v>
      </c>
      <c r="U98" s="1" t="str">
        <f>IF(ISNUMBER(SEARCH("Vande Bharat",Table1[[#This Row],[Video title]])),"Vande Bharat","Other")</f>
        <v>Other</v>
      </c>
    </row>
    <row r="99" spans="1:21" x14ac:dyDescent="0.3">
      <c r="A99" s="4" t="s">
        <v>218</v>
      </c>
      <c r="B99" s="1" t="s">
        <v>219</v>
      </c>
      <c r="C99" s="7">
        <v>44886</v>
      </c>
      <c r="D99" s="1">
        <v>849</v>
      </c>
      <c r="E99" s="1">
        <v>16.96</v>
      </c>
      <c r="F99" s="1">
        <v>21</v>
      </c>
      <c r="G99" s="1">
        <v>0</v>
      </c>
      <c r="H99" s="1">
        <v>58</v>
      </c>
      <c r="I99" s="1">
        <v>3</v>
      </c>
      <c r="J99" s="1">
        <v>95.08</v>
      </c>
      <c r="K99" s="1">
        <v>5</v>
      </c>
      <c r="L99" s="1">
        <v>4</v>
      </c>
      <c r="M99" s="1">
        <v>23.004000000000001</v>
      </c>
      <c r="N99" s="1">
        <v>73</v>
      </c>
      <c r="O99" s="1">
        <v>3987</v>
      </c>
      <c r="P99" s="1">
        <v>159.42250000000001</v>
      </c>
      <c r="Q99" s="1">
        <v>91.691999999999993</v>
      </c>
      <c r="R99" s="5">
        <v>1.6550925925925926E-3</v>
      </c>
      <c r="S99" s="1">
        <v>32071</v>
      </c>
      <c r="T99" s="6">
        <v>10.28</v>
      </c>
      <c r="U99" s="1" t="str">
        <f>IF(ISNUMBER(SEARCH("Vande Bharat",Table1[[#This Row],[Video title]])),"Vande Bharat","Other")</f>
        <v>Other</v>
      </c>
    </row>
    <row r="100" spans="1:21" x14ac:dyDescent="0.3">
      <c r="A100" s="4" t="s">
        <v>106</v>
      </c>
      <c r="B100" s="1" t="s">
        <v>107</v>
      </c>
      <c r="C100" s="7">
        <v>45555</v>
      </c>
      <c r="D100" s="1">
        <v>30</v>
      </c>
      <c r="E100" s="1">
        <v>84.02</v>
      </c>
      <c r="F100" s="1">
        <v>14</v>
      </c>
      <c r="G100" s="1">
        <v>1</v>
      </c>
      <c r="H100" s="1">
        <v>120</v>
      </c>
      <c r="I100" s="1">
        <v>7</v>
      </c>
      <c r="J100" s="1">
        <v>94.49</v>
      </c>
      <c r="K100" s="1">
        <v>18</v>
      </c>
      <c r="L100" s="1">
        <v>0</v>
      </c>
      <c r="M100" s="1">
        <v>0.69299999999999995</v>
      </c>
      <c r="N100" s="1">
        <v>136</v>
      </c>
      <c r="O100" s="1">
        <v>7398</v>
      </c>
      <c r="P100" s="1">
        <v>46.258200000000002</v>
      </c>
      <c r="Q100" s="1">
        <v>4.5540000000000003</v>
      </c>
      <c r="R100" s="5">
        <v>2.8935185185185184E-4</v>
      </c>
      <c r="S100" s="1">
        <v>36362</v>
      </c>
      <c r="T100" s="6">
        <v>2.92</v>
      </c>
      <c r="U100" s="1" t="str">
        <f>IF(ISNUMBER(SEARCH("Vande Bharat",Table1[[#This Row],[Video title]])),"Vande Bharat","Other")</f>
        <v>Vande Bharat</v>
      </c>
    </row>
    <row r="101" spans="1:21" x14ac:dyDescent="0.3">
      <c r="A101" s="4" t="s">
        <v>222</v>
      </c>
      <c r="B101" s="1" t="s">
        <v>223</v>
      </c>
      <c r="C101" s="7">
        <v>45084</v>
      </c>
      <c r="D101" s="1">
        <v>2732</v>
      </c>
      <c r="E101" s="1">
        <v>7.51</v>
      </c>
      <c r="F101" s="1">
        <v>23</v>
      </c>
      <c r="G101" s="1">
        <v>0</v>
      </c>
      <c r="H101" s="1">
        <v>67</v>
      </c>
      <c r="I101" s="1">
        <v>2</v>
      </c>
      <c r="J101" s="1">
        <v>97.1</v>
      </c>
      <c r="K101" s="1">
        <v>15</v>
      </c>
      <c r="L101" s="1">
        <v>5</v>
      </c>
      <c r="M101" s="1">
        <v>22.030999999999999</v>
      </c>
      <c r="N101" s="1">
        <v>75</v>
      </c>
      <c r="O101" s="1">
        <v>4011</v>
      </c>
      <c r="P101" s="1">
        <v>228.5111</v>
      </c>
      <c r="Q101" s="1">
        <v>88.366</v>
      </c>
      <c r="R101" s="5">
        <v>2.3726851851851851E-3</v>
      </c>
      <c r="S101" s="1">
        <v>38476</v>
      </c>
      <c r="T101" s="6">
        <v>8.32</v>
      </c>
      <c r="U101" s="1" t="str">
        <f>IF(ISNUMBER(SEARCH("Vande Bharat",Table1[[#This Row],[Video title]])),"Vande Bharat","Other")</f>
        <v>Other</v>
      </c>
    </row>
    <row r="102" spans="1:21" x14ac:dyDescent="0.3">
      <c r="A102" s="4" t="s">
        <v>224</v>
      </c>
      <c r="B102" s="1" t="s">
        <v>225</v>
      </c>
      <c r="C102" s="7">
        <v>45591</v>
      </c>
      <c r="D102" s="1">
        <v>16</v>
      </c>
      <c r="E102" s="1">
        <v>95.71</v>
      </c>
      <c r="F102" s="1">
        <v>6</v>
      </c>
      <c r="G102" s="1">
        <v>0</v>
      </c>
      <c r="H102" s="1">
        <v>70</v>
      </c>
      <c r="I102" s="1">
        <v>9</v>
      </c>
      <c r="J102" s="1">
        <v>88.61</v>
      </c>
      <c r="K102" s="1">
        <v>1</v>
      </c>
      <c r="L102" s="1">
        <v>1</v>
      </c>
      <c r="M102" s="1">
        <v>1.137</v>
      </c>
      <c r="N102" s="1">
        <v>35</v>
      </c>
      <c r="O102" s="1">
        <v>3297</v>
      </c>
      <c r="P102" s="1">
        <v>13.445</v>
      </c>
      <c r="Q102" s="1">
        <v>3.581</v>
      </c>
      <c r="R102" s="5">
        <v>1.7361111111111112E-4</v>
      </c>
      <c r="S102" s="1">
        <v>5254</v>
      </c>
      <c r="T102" s="6">
        <v>5.75</v>
      </c>
      <c r="U102" s="1" t="str">
        <f>IF(ISNUMBER(SEARCH("Vande Bharat",Table1[[#This Row],[Video title]])),"Vande Bharat","Other")</f>
        <v>Other</v>
      </c>
    </row>
    <row r="103" spans="1:21" x14ac:dyDescent="0.3">
      <c r="A103" s="4" t="s">
        <v>58</v>
      </c>
      <c r="B103" s="1" t="s">
        <v>59</v>
      </c>
      <c r="C103" s="7">
        <v>45554</v>
      </c>
      <c r="D103" s="1">
        <v>2759</v>
      </c>
      <c r="E103" s="1">
        <v>9.73</v>
      </c>
      <c r="F103" s="1">
        <v>35</v>
      </c>
      <c r="G103" s="1">
        <v>2</v>
      </c>
      <c r="H103" s="1">
        <v>166</v>
      </c>
      <c r="I103" s="1">
        <v>14</v>
      </c>
      <c r="J103" s="1">
        <v>92.22</v>
      </c>
      <c r="K103" s="1">
        <v>80</v>
      </c>
      <c r="L103" s="1">
        <v>26</v>
      </c>
      <c r="M103" s="1">
        <v>66.97</v>
      </c>
      <c r="N103" s="1">
        <v>775</v>
      </c>
      <c r="O103" s="1">
        <v>13679</v>
      </c>
      <c r="P103" s="1">
        <v>1020.5262</v>
      </c>
      <c r="Q103" s="1">
        <v>916.05399999999997</v>
      </c>
      <c r="R103" s="5">
        <v>3.1018518518518517E-3</v>
      </c>
      <c r="S103" s="1">
        <v>154572</v>
      </c>
      <c r="T103" s="6">
        <v>7.03</v>
      </c>
      <c r="U103" s="1" t="str">
        <f>IF(ISNUMBER(SEARCH("Vande Bharat",Table1[[#This Row],[Video title]])),"Vande Bharat","Other")</f>
        <v>Vande Bharat</v>
      </c>
    </row>
    <row r="104" spans="1:21" x14ac:dyDescent="0.3">
      <c r="A104" s="4" t="s">
        <v>688</v>
      </c>
      <c r="B104" s="1" t="s">
        <v>689</v>
      </c>
      <c r="C104" s="7">
        <v>45554</v>
      </c>
      <c r="D104" s="1">
        <v>17</v>
      </c>
      <c r="E104" s="1">
        <v>68.25</v>
      </c>
      <c r="F104" s="1">
        <v>1</v>
      </c>
      <c r="G104" s="1">
        <v>0</v>
      </c>
      <c r="H104" s="1">
        <v>27</v>
      </c>
      <c r="I104" s="1">
        <v>1</v>
      </c>
      <c r="J104" s="1">
        <v>96.43</v>
      </c>
      <c r="K104" s="1">
        <v>0</v>
      </c>
      <c r="L104" s="1">
        <v>1</v>
      </c>
      <c r="M104" s="1">
        <v>1.2050000000000001</v>
      </c>
      <c r="N104" s="1">
        <v>74</v>
      </c>
      <c r="O104" s="1">
        <v>1002</v>
      </c>
      <c r="P104" s="1">
        <v>3.0289999999999999</v>
      </c>
      <c r="Q104" s="1">
        <v>1.1200000000000001</v>
      </c>
      <c r="R104" s="5">
        <v>1.273148148148148E-4</v>
      </c>
      <c r="S104" s="1">
        <v>4623</v>
      </c>
      <c r="T104" s="6">
        <v>3.74</v>
      </c>
      <c r="U104" s="1" t="str">
        <f>IF(ISNUMBER(SEARCH("Vande Bharat",Table1[[#This Row],[Video title]])),"Vande Bharat","Other")</f>
        <v>Vande Bharat</v>
      </c>
    </row>
    <row r="105" spans="1:21" x14ac:dyDescent="0.3">
      <c r="A105" s="4" t="s">
        <v>230</v>
      </c>
      <c r="B105" s="1" t="s">
        <v>231</v>
      </c>
      <c r="C105" s="7">
        <v>45585</v>
      </c>
      <c r="D105" s="1">
        <v>3500</v>
      </c>
      <c r="E105" s="1">
        <v>8.6</v>
      </c>
      <c r="F105" s="1">
        <v>11</v>
      </c>
      <c r="G105" s="1">
        <v>0</v>
      </c>
      <c r="H105" s="1">
        <v>57</v>
      </c>
      <c r="I105" s="1">
        <v>4</v>
      </c>
      <c r="J105" s="1">
        <v>93.44</v>
      </c>
      <c r="K105" s="1">
        <v>8</v>
      </c>
      <c r="L105" s="1">
        <v>16</v>
      </c>
      <c r="M105" s="1">
        <v>50.747999999999998</v>
      </c>
      <c r="N105" s="1">
        <v>137</v>
      </c>
      <c r="O105" s="1">
        <v>4108</v>
      </c>
      <c r="P105" s="1">
        <v>343.56700000000001</v>
      </c>
      <c r="Q105" s="1">
        <v>208.09299999999999</v>
      </c>
      <c r="R105" s="5">
        <v>3.4837962962962965E-3</v>
      </c>
      <c r="S105" s="1">
        <v>46401</v>
      </c>
      <c r="T105" s="6">
        <v>7.25</v>
      </c>
      <c r="U105" s="1" t="str">
        <f>IF(ISNUMBER(SEARCH("Vande Bharat",Table1[[#This Row],[Video title]])),"Vande Bharat","Other")</f>
        <v>Other</v>
      </c>
    </row>
    <row r="106" spans="1:21" x14ac:dyDescent="0.3">
      <c r="A106" s="4" t="s">
        <v>232</v>
      </c>
      <c r="B106" s="1" t="s">
        <v>233</v>
      </c>
      <c r="C106" s="7">
        <v>44760</v>
      </c>
      <c r="D106" s="1">
        <v>195</v>
      </c>
      <c r="E106" s="1">
        <v>25.83</v>
      </c>
      <c r="F106" s="1">
        <v>6</v>
      </c>
      <c r="G106" s="1">
        <v>0</v>
      </c>
      <c r="H106" s="1">
        <v>67</v>
      </c>
      <c r="I106" s="1">
        <v>3</v>
      </c>
      <c r="J106" s="1">
        <v>95.71</v>
      </c>
      <c r="K106" s="1">
        <v>5</v>
      </c>
      <c r="L106" s="1">
        <v>12</v>
      </c>
      <c r="M106" s="1">
        <v>13.708</v>
      </c>
      <c r="N106" s="1">
        <v>30</v>
      </c>
      <c r="O106" s="1">
        <v>3416</v>
      </c>
      <c r="P106" s="1">
        <v>47.787199999999999</v>
      </c>
      <c r="Q106" s="1">
        <v>46.826999999999998</v>
      </c>
      <c r="R106" s="5">
        <v>5.7870370370370367E-4</v>
      </c>
      <c r="S106" s="1">
        <v>31732</v>
      </c>
      <c r="T106" s="6">
        <v>9.48</v>
      </c>
      <c r="U106" s="1" t="str">
        <f>IF(ISNUMBER(SEARCH("Vande Bharat",Table1[[#This Row],[Video title]])),"Vande Bharat","Other")</f>
        <v>Other</v>
      </c>
    </row>
    <row r="107" spans="1:21" x14ac:dyDescent="0.3">
      <c r="A107" s="4" t="s">
        <v>234</v>
      </c>
      <c r="B107" s="1" t="s">
        <v>235</v>
      </c>
      <c r="C107" s="7">
        <v>45983</v>
      </c>
      <c r="D107" s="1">
        <v>4476</v>
      </c>
      <c r="E107" s="1">
        <v>5.58</v>
      </c>
      <c r="F107" s="1">
        <v>17</v>
      </c>
      <c r="G107" s="1">
        <v>1</v>
      </c>
      <c r="H107" s="1">
        <v>67</v>
      </c>
      <c r="I107" s="1">
        <v>4</v>
      </c>
      <c r="J107" s="1">
        <v>94.37</v>
      </c>
      <c r="K107" s="1">
        <v>9</v>
      </c>
      <c r="L107" s="1">
        <v>9</v>
      </c>
      <c r="M107" s="1">
        <v>43.988</v>
      </c>
      <c r="N107" s="1">
        <v>106</v>
      </c>
      <c r="O107" s="1">
        <v>3856</v>
      </c>
      <c r="P107" s="1">
        <v>267.45229999999998</v>
      </c>
      <c r="Q107" s="1">
        <v>168.51400000000001</v>
      </c>
      <c r="R107" s="5">
        <v>2.8819444444444444E-3</v>
      </c>
      <c r="S107" s="1">
        <v>45881</v>
      </c>
      <c r="T107" s="6">
        <v>7.21</v>
      </c>
      <c r="U107" s="1" t="str">
        <f>IF(ISNUMBER(SEARCH("Vande Bharat",Table1[[#This Row],[Video title]])),"Vande Bharat","Other")</f>
        <v>Other</v>
      </c>
    </row>
    <row r="108" spans="1:21" x14ac:dyDescent="0.3">
      <c r="A108" s="4" t="s">
        <v>236</v>
      </c>
      <c r="B108" s="1" t="s">
        <v>237</v>
      </c>
      <c r="C108" s="7">
        <v>44242</v>
      </c>
      <c r="D108" s="1">
        <v>1324</v>
      </c>
      <c r="E108" s="1">
        <v>20.92</v>
      </c>
      <c r="F108" s="1">
        <v>39</v>
      </c>
      <c r="G108" s="1">
        <v>2</v>
      </c>
      <c r="H108" s="1">
        <v>126</v>
      </c>
      <c r="I108" s="1">
        <v>6</v>
      </c>
      <c r="J108" s="1">
        <v>95.45</v>
      </c>
      <c r="K108" s="1">
        <v>11</v>
      </c>
      <c r="L108" s="1">
        <v>25</v>
      </c>
      <c r="M108" s="1">
        <v>3.1269999999999998</v>
      </c>
      <c r="N108" s="1">
        <v>45</v>
      </c>
      <c r="O108" s="1">
        <v>3852</v>
      </c>
      <c r="P108" s="1">
        <v>296.43880000000001</v>
      </c>
      <c r="Q108" s="1">
        <v>12.044</v>
      </c>
      <c r="R108" s="5">
        <v>3.2060185185185186E-3</v>
      </c>
      <c r="S108" s="1">
        <v>46118</v>
      </c>
      <c r="T108" s="6">
        <v>5.65</v>
      </c>
      <c r="U108" s="1" t="str">
        <f>IF(ISNUMBER(SEARCH("Vande Bharat",Table1[[#This Row],[Video title]])),"Vande Bharat","Other")</f>
        <v>Other</v>
      </c>
    </row>
    <row r="109" spans="1:21" x14ac:dyDescent="0.3">
      <c r="A109" s="4" t="s">
        <v>238</v>
      </c>
      <c r="B109" s="1" t="s">
        <v>239</v>
      </c>
      <c r="C109" s="7">
        <v>45634</v>
      </c>
      <c r="D109" s="1">
        <v>1808</v>
      </c>
      <c r="E109" s="1">
        <v>6.43</v>
      </c>
      <c r="F109" s="1">
        <v>16</v>
      </c>
      <c r="G109" s="1">
        <v>0</v>
      </c>
      <c r="H109" s="1">
        <v>65</v>
      </c>
      <c r="I109" s="1">
        <v>0</v>
      </c>
      <c r="J109" s="1">
        <v>100</v>
      </c>
      <c r="K109" s="1">
        <v>11</v>
      </c>
      <c r="L109" s="1">
        <v>11</v>
      </c>
      <c r="M109" s="1">
        <v>17.603999999999999</v>
      </c>
      <c r="N109" s="1">
        <v>70</v>
      </c>
      <c r="O109" s="1">
        <v>4558</v>
      </c>
      <c r="P109" s="1">
        <v>147.1532</v>
      </c>
      <c r="Q109" s="1">
        <v>80.218999999999994</v>
      </c>
      <c r="R109" s="5">
        <v>1.3425925925925925E-3</v>
      </c>
      <c r="S109" s="1">
        <v>42403</v>
      </c>
      <c r="T109" s="6">
        <v>7.36</v>
      </c>
      <c r="U109" s="1" t="str">
        <f>IF(ISNUMBER(SEARCH("Vande Bharat",Table1[[#This Row],[Video title]])),"Vande Bharat","Other")</f>
        <v>Other</v>
      </c>
    </row>
    <row r="110" spans="1:21" x14ac:dyDescent="0.3">
      <c r="A110" s="4" t="s">
        <v>240</v>
      </c>
      <c r="B110" s="1" t="s">
        <v>241</v>
      </c>
      <c r="C110" s="7">
        <v>44649</v>
      </c>
      <c r="D110" s="1">
        <v>143</v>
      </c>
      <c r="E110" s="1">
        <v>35.130000000000003</v>
      </c>
      <c r="F110" s="1">
        <v>10</v>
      </c>
      <c r="G110" s="1">
        <v>2</v>
      </c>
      <c r="H110" s="1">
        <v>71</v>
      </c>
      <c r="I110" s="1">
        <v>1</v>
      </c>
      <c r="J110" s="1">
        <v>98.61</v>
      </c>
      <c r="K110" s="1">
        <v>10</v>
      </c>
      <c r="L110" s="1">
        <v>30</v>
      </c>
      <c r="M110" s="1">
        <v>19.713000000000001</v>
      </c>
      <c r="N110" s="1">
        <v>54</v>
      </c>
      <c r="O110" s="1">
        <v>3218</v>
      </c>
      <c r="P110" s="1">
        <v>44.9041</v>
      </c>
      <c r="Q110" s="1">
        <v>63.435000000000002</v>
      </c>
      <c r="R110" s="5">
        <v>5.7870370370370367E-4</v>
      </c>
      <c r="S110" s="1">
        <v>26677</v>
      </c>
      <c r="T110" s="6">
        <v>5.24</v>
      </c>
      <c r="U110" s="1" t="str">
        <f>IF(ISNUMBER(SEARCH("Vande Bharat",Table1[[#This Row],[Video title]])),"Vande Bharat","Other")</f>
        <v>Other</v>
      </c>
    </row>
    <row r="111" spans="1:21" x14ac:dyDescent="0.3">
      <c r="A111" s="4" t="s">
        <v>242</v>
      </c>
      <c r="B111" s="1" t="s">
        <v>243</v>
      </c>
      <c r="C111" s="7">
        <v>46190</v>
      </c>
      <c r="D111" s="1">
        <v>314</v>
      </c>
      <c r="E111" s="1">
        <v>25.48</v>
      </c>
      <c r="F111" s="1">
        <v>2</v>
      </c>
      <c r="G111" s="1">
        <v>1</v>
      </c>
      <c r="H111" s="1">
        <v>53</v>
      </c>
      <c r="I111" s="1">
        <v>0</v>
      </c>
      <c r="J111" s="1">
        <v>100</v>
      </c>
      <c r="K111" s="1">
        <v>12</v>
      </c>
      <c r="L111" s="1">
        <v>15</v>
      </c>
      <c r="M111" s="1">
        <v>22.405999999999999</v>
      </c>
      <c r="N111" s="1">
        <v>230</v>
      </c>
      <c r="O111" s="1">
        <v>3285</v>
      </c>
      <c r="P111" s="1">
        <v>73.008399999999995</v>
      </c>
      <c r="Q111" s="1">
        <v>73.548000000000002</v>
      </c>
      <c r="R111" s="5">
        <v>9.2592592592592596E-4</v>
      </c>
      <c r="S111" s="1">
        <v>34328</v>
      </c>
      <c r="T111" s="6">
        <v>8.2899999999999991</v>
      </c>
      <c r="U111" s="1" t="str">
        <f>IF(ISNUMBER(SEARCH("Vande Bharat",Table1[[#This Row],[Video title]])),"Vande Bharat","Other")</f>
        <v>Other</v>
      </c>
    </row>
    <row r="112" spans="1:21" x14ac:dyDescent="0.3">
      <c r="A112" s="4" t="s">
        <v>244</v>
      </c>
      <c r="B112" s="1" t="s">
        <v>245</v>
      </c>
      <c r="C112" s="7">
        <v>44984</v>
      </c>
      <c r="D112" s="1">
        <v>31</v>
      </c>
      <c r="E112" s="1">
        <v>57.73</v>
      </c>
      <c r="F112" s="1">
        <v>9</v>
      </c>
      <c r="G112" s="1">
        <v>0</v>
      </c>
      <c r="H112" s="1">
        <v>101</v>
      </c>
      <c r="I112" s="1">
        <v>15</v>
      </c>
      <c r="J112" s="1">
        <v>87.07</v>
      </c>
      <c r="K112" s="1">
        <v>2</v>
      </c>
      <c r="L112" s="1">
        <v>1</v>
      </c>
      <c r="M112" s="1">
        <v>0.51900000000000002</v>
      </c>
      <c r="N112" s="1">
        <v>16</v>
      </c>
      <c r="O112" s="1">
        <v>3014</v>
      </c>
      <c r="P112" s="1">
        <v>14.886799999999999</v>
      </c>
      <c r="Q112" s="1">
        <v>1.552</v>
      </c>
      <c r="R112" s="5">
        <v>1.9675925925925926E-4</v>
      </c>
      <c r="S112" s="1">
        <v>8446</v>
      </c>
      <c r="T112" s="6">
        <v>4.07</v>
      </c>
      <c r="U112" s="1" t="str">
        <f>IF(ISNUMBER(SEARCH("Vande Bharat",Table1[[#This Row],[Video title]])),"Vande Bharat","Other")</f>
        <v>Other</v>
      </c>
    </row>
    <row r="113" spans="1:21" x14ac:dyDescent="0.3">
      <c r="A113" s="4" t="s">
        <v>246</v>
      </c>
      <c r="B113" s="1" t="s">
        <v>247</v>
      </c>
      <c r="C113" s="7">
        <v>45577</v>
      </c>
      <c r="D113" s="1">
        <v>992</v>
      </c>
      <c r="E113" s="1">
        <v>13.04</v>
      </c>
      <c r="F113" s="1">
        <v>8</v>
      </c>
      <c r="G113" s="1">
        <v>1</v>
      </c>
      <c r="H113" s="1">
        <v>52</v>
      </c>
      <c r="I113" s="1">
        <v>6</v>
      </c>
      <c r="J113" s="1">
        <v>89.66</v>
      </c>
      <c r="K113" s="1">
        <v>9</v>
      </c>
      <c r="L113" s="1">
        <v>8</v>
      </c>
      <c r="M113" s="1">
        <v>31.298999999999999</v>
      </c>
      <c r="N113" s="1">
        <v>152</v>
      </c>
      <c r="O113" s="1">
        <v>3844</v>
      </c>
      <c r="P113" s="1">
        <v>138.15379999999999</v>
      </c>
      <c r="Q113" s="1">
        <v>120.32599999999999</v>
      </c>
      <c r="R113" s="5">
        <v>1.4930555555555556E-3</v>
      </c>
      <c r="S113" s="1">
        <v>33356</v>
      </c>
      <c r="T113" s="6">
        <v>9.74</v>
      </c>
      <c r="U113" s="1" t="str">
        <f>IF(ISNUMBER(SEARCH("Vande Bharat",Table1[[#This Row],[Video title]])),"Vande Bharat","Other")</f>
        <v>Other</v>
      </c>
    </row>
    <row r="114" spans="1:21" x14ac:dyDescent="0.3">
      <c r="A114" s="4" t="s">
        <v>46</v>
      </c>
      <c r="B114" s="1" t="s">
        <v>47</v>
      </c>
      <c r="C114" s="7">
        <v>45552</v>
      </c>
      <c r="D114" s="1">
        <v>2005</v>
      </c>
      <c r="E114" s="1">
        <v>13.71</v>
      </c>
      <c r="F114" s="1">
        <v>64</v>
      </c>
      <c r="G114" s="1">
        <v>2</v>
      </c>
      <c r="H114" s="1">
        <v>258</v>
      </c>
      <c r="I114" s="1">
        <v>16</v>
      </c>
      <c r="J114" s="1">
        <v>94.16</v>
      </c>
      <c r="K114" s="1">
        <v>96</v>
      </c>
      <c r="L114" s="1">
        <v>20</v>
      </c>
      <c r="M114" s="1">
        <v>54.170999999999999</v>
      </c>
      <c r="N114" s="1">
        <v>1239</v>
      </c>
      <c r="O114" s="1">
        <v>21650</v>
      </c>
      <c r="P114" s="1">
        <v>1653.6005</v>
      </c>
      <c r="Q114" s="1">
        <v>1172.799</v>
      </c>
      <c r="R114" s="5">
        <v>3.1712962962962962E-3</v>
      </c>
      <c r="S114" s="1">
        <v>225531</v>
      </c>
      <c r="T114" s="6">
        <v>7.93</v>
      </c>
      <c r="U114" s="1" t="str">
        <f>IF(ISNUMBER(SEARCH("Vande Bharat",Table1[[#This Row],[Video title]])),"Vande Bharat","Other")</f>
        <v>Vande Bharat</v>
      </c>
    </row>
    <row r="115" spans="1:21" x14ac:dyDescent="0.3">
      <c r="A115" s="4" t="s">
        <v>250</v>
      </c>
      <c r="B115" s="1" t="s">
        <v>251</v>
      </c>
      <c r="C115" s="7">
        <v>44270</v>
      </c>
      <c r="D115" s="1">
        <v>388</v>
      </c>
      <c r="E115" s="1">
        <v>30.18</v>
      </c>
      <c r="F115" s="1">
        <v>10</v>
      </c>
      <c r="G115" s="1">
        <v>2</v>
      </c>
      <c r="H115" s="1">
        <v>133</v>
      </c>
      <c r="I115" s="1">
        <v>4</v>
      </c>
      <c r="J115" s="1">
        <v>97.08</v>
      </c>
      <c r="K115" s="1">
        <v>11</v>
      </c>
      <c r="L115" s="1">
        <v>32</v>
      </c>
      <c r="M115" s="1">
        <v>4.6890000000000001</v>
      </c>
      <c r="N115" s="1">
        <v>59</v>
      </c>
      <c r="O115" s="1">
        <v>3465</v>
      </c>
      <c r="P115" s="1">
        <v>112.72029999999999</v>
      </c>
      <c r="Q115" s="1">
        <v>16.245999999999999</v>
      </c>
      <c r="R115" s="5">
        <v>1.3541666666666667E-3</v>
      </c>
      <c r="S115" s="1">
        <v>36213</v>
      </c>
      <c r="T115" s="6">
        <v>7.01</v>
      </c>
      <c r="U115" s="1" t="str">
        <f>IF(ISNUMBER(SEARCH("Vande Bharat",Table1[[#This Row],[Video title]])),"Vande Bharat","Other")</f>
        <v>Other</v>
      </c>
    </row>
    <row r="116" spans="1:21" x14ac:dyDescent="0.3">
      <c r="A116" s="4" t="s">
        <v>252</v>
      </c>
      <c r="B116" s="1" t="s">
        <v>253</v>
      </c>
      <c r="C116" s="7">
        <v>45563</v>
      </c>
      <c r="D116" s="1">
        <v>2827</v>
      </c>
      <c r="E116" s="1">
        <v>8.6999999999999993</v>
      </c>
      <c r="F116" s="1">
        <v>11</v>
      </c>
      <c r="G116" s="1">
        <v>1</v>
      </c>
      <c r="H116" s="1">
        <v>66</v>
      </c>
      <c r="I116" s="1">
        <v>4</v>
      </c>
      <c r="J116" s="1">
        <v>94.29</v>
      </c>
      <c r="K116" s="1">
        <v>6</v>
      </c>
      <c r="L116" s="1">
        <v>17</v>
      </c>
      <c r="M116" s="1">
        <v>48.273000000000003</v>
      </c>
      <c r="N116" s="1">
        <v>94</v>
      </c>
      <c r="O116" s="1">
        <v>3465</v>
      </c>
      <c r="P116" s="1">
        <v>236.56180000000001</v>
      </c>
      <c r="Q116" s="1">
        <v>167.67400000000001</v>
      </c>
      <c r="R116" s="5">
        <v>2.8356481481481483E-3</v>
      </c>
      <c r="S116" s="1">
        <v>40397</v>
      </c>
      <c r="T116" s="6">
        <v>7.2</v>
      </c>
      <c r="U116" s="1" t="str">
        <f>IF(ISNUMBER(SEARCH("Vande Bharat",Table1[[#This Row],[Video title]])),"Vande Bharat","Other")</f>
        <v>Other</v>
      </c>
    </row>
    <row r="117" spans="1:21" x14ac:dyDescent="0.3">
      <c r="A117" s="4" t="s">
        <v>254</v>
      </c>
      <c r="B117" s="1" t="s">
        <v>255</v>
      </c>
      <c r="C117" s="7">
        <v>46030</v>
      </c>
      <c r="D117" s="1">
        <v>26</v>
      </c>
      <c r="E117" s="1">
        <v>68.83</v>
      </c>
      <c r="F117" s="1">
        <v>5</v>
      </c>
      <c r="G117" s="1">
        <v>0</v>
      </c>
      <c r="H117" s="1">
        <v>70</v>
      </c>
      <c r="I117" s="1">
        <v>1</v>
      </c>
      <c r="J117" s="1">
        <v>98.59</v>
      </c>
      <c r="K117" s="1">
        <v>0</v>
      </c>
      <c r="L117" s="1">
        <v>2</v>
      </c>
      <c r="M117" s="1">
        <v>1.008</v>
      </c>
      <c r="N117" s="1">
        <v>250</v>
      </c>
      <c r="O117" s="1">
        <v>7065</v>
      </c>
      <c r="P117" s="1">
        <v>15.2882</v>
      </c>
      <c r="Q117" s="1">
        <v>2.8050000000000002</v>
      </c>
      <c r="R117" s="5">
        <v>1.9675925925925926E-4</v>
      </c>
      <c r="S117" s="1">
        <v>3347</v>
      </c>
      <c r="T117" s="6">
        <v>8.19</v>
      </c>
      <c r="U117" s="1" t="str">
        <f>IF(ISNUMBER(SEARCH("Vande Bharat",Table1[[#This Row],[Video title]])),"Vande Bharat","Other")</f>
        <v>Other</v>
      </c>
    </row>
    <row r="118" spans="1:21" x14ac:dyDescent="0.3">
      <c r="A118" s="4" t="s">
        <v>256</v>
      </c>
      <c r="B118" s="1" t="s">
        <v>257</v>
      </c>
      <c r="C118" s="7">
        <v>45835</v>
      </c>
      <c r="D118" s="1">
        <v>240</v>
      </c>
      <c r="E118" s="1">
        <v>32.65</v>
      </c>
      <c r="F118" s="1">
        <v>9</v>
      </c>
      <c r="G118" s="1">
        <v>0</v>
      </c>
      <c r="H118" s="1">
        <v>32</v>
      </c>
      <c r="I118" s="1">
        <v>3</v>
      </c>
      <c r="J118" s="1">
        <v>91.43</v>
      </c>
      <c r="K118" s="1">
        <v>15</v>
      </c>
      <c r="L118" s="1">
        <v>3</v>
      </c>
      <c r="M118" s="1">
        <v>17.535</v>
      </c>
      <c r="N118" s="1">
        <v>60</v>
      </c>
      <c r="O118" s="1">
        <v>3044</v>
      </c>
      <c r="P118" s="1">
        <v>66.260599999999997</v>
      </c>
      <c r="Q118" s="1">
        <v>53.374000000000002</v>
      </c>
      <c r="R118" s="5">
        <v>9.0277777777777774E-4</v>
      </c>
      <c r="S118" s="1">
        <v>40073</v>
      </c>
      <c r="T118" s="6">
        <v>6.8</v>
      </c>
      <c r="U118" s="1" t="str">
        <f>IF(ISNUMBER(SEARCH("Vande Bharat",Table1[[#This Row],[Video title]])),"Vande Bharat","Other")</f>
        <v>Other</v>
      </c>
    </row>
    <row r="119" spans="1:21" x14ac:dyDescent="0.3">
      <c r="A119" s="4" t="s">
        <v>258</v>
      </c>
      <c r="B119" s="1" t="s">
        <v>259</v>
      </c>
      <c r="C119" s="7">
        <v>45174</v>
      </c>
      <c r="D119" s="1">
        <v>206</v>
      </c>
      <c r="E119" s="1">
        <v>30.85</v>
      </c>
      <c r="F119" s="1">
        <v>9</v>
      </c>
      <c r="G119" s="1">
        <v>1</v>
      </c>
      <c r="H119" s="1">
        <v>49</v>
      </c>
      <c r="I119" s="1">
        <v>1</v>
      </c>
      <c r="J119" s="1">
        <v>98</v>
      </c>
      <c r="K119" s="1">
        <v>21</v>
      </c>
      <c r="L119" s="1">
        <v>5</v>
      </c>
      <c r="M119" s="1">
        <v>15.887</v>
      </c>
      <c r="N119" s="1">
        <v>39</v>
      </c>
      <c r="O119" s="1">
        <v>3139</v>
      </c>
      <c r="P119" s="1">
        <v>55.415799999999997</v>
      </c>
      <c r="Q119" s="1">
        <v>49.87</v>
      </c>
      <c r="R119" s="5">
        <v>7.291666666666667E-4</v>
      </c>
      <c r="S119" s="1">
        <v>24829</v>
      </c>
      <c r="T119" s="6">
        <v>10.32</v>
      </c>
      <c r="U119" s="1" t="str">
        <f>IF(ISNUMBER(SEARCH("Vande Bharat",Table1[[#This Row],[Video title]])),"Vande Bharat","Other")</f>
        <v>Other</v>
      </c>
    </row>
    <row r="120" spans="1:21" x14ac:dyDescent="0.3">
      <c r="A120" s="4" t="s">
        <v>260</v>
      </c>
      <c r="B120" s="1" t="s">
        <v>261</v>
      </c>
      <c r="C120" s="7">
        <v>45195</v>
      </c>
      <c r="D120" s="1">
        <v>782</v>
      </c>
      <c r="E120" s="1">
        <v>15.79</v>
      </c>
      <c r="F120" s="1">
        <v>11</v>
      </c>
      <c r="G120" s="1">
        <v>1</v>
      </c>
      <c r="H120" s="1">
        <v>52</v>
      </c>
      <c r="I120" s="1">
        <v>3</v>
      </c>
      <c r="J120" s="1">
        <v>94.55</v>
      </c>
      <c r="K120" s="1">
        <v>10</v>
      </c>
      <c r="L120" s="1">
        <v>7</v>
      </c>
      <c r="M120" s="1">
        <v>36.441000000000003</v>
      </c>
      <c r="N120" s="1">
        <v>148</v>
      </c>
      <c r="O120" s="1">
        <v>3239</v>
      </c>
      <c r="P120" s="1">
        <v>111.1007</v>
      </c>
      <c r="Q120" s="1">
        <v>117.997</v>
      </c>
      <c r="R120" s="5">
        <v>1.4236111111111112E-3</v>
      </c>
      <c r="S120" s="1">
        <v>30180</v>
      </c>
      <c r="T120" s="6">
        <v>9.01</v>
      </c>
      <c r="U120" s="1" t="str">
        <f>IF(ISNUMBER(SEARCH("Vande Bharat",Table1[[#This Row],[Video title]])),"Vande Bharat","Other")</f>
        <v>Other</v>
      </c>
    </row>
    <row r="121" spans="1:21" x14ac:dyDescent="0.3">
      <c r="A121" s="4" t="s">
        <v>262</v>
      </c>
      <c r="B121" s="1" t="s">
        <v>263</v>
      </c>
      <c r="C121" s="7">
        <v>45493</v>
      </c>
      <c r="D121" s="1">
        <v>553</v>
      </c>
      <c r="E121" s="1">
        <v>24.12</v>
      </c>
      <c r="F121" s="1">
        <v>13</v>
      </c>
      <c r="G121" s="1">
        <v>0</v>
      </c>
      <c r="H121" s="1">
        <v>86</v>
      </c>
      <c r="I121" s="1">
        <v>2</v>
      </c>
      <c r="J121" s="1">
        <v>97.73</v>
      </c>
      <c r="K121" s="1">
        <v>6</v>
      </c>
      <c r="L121" s="1">
        <v>9</v>
      </c>
      <c r="M121" s="1">
        <v>25.347000000000001</v>
      </c>
      <c r="N121" s="1">
        <v>80</v>
      </c>
      <c r="O121" s="1">
        <v>3072</v>
      </c>
      <c r="P121" s="1">
        <v>113.8173</v>
      </c>
      <c r="Q121" s="1">
        <v>77.866</v>
      </c>
      <c r="R121" s="5">
        <v>1.5393518518518519E-3</v>
      </c>
      <c r="S121" s="1">
        <v>33596</v>
      </c>
      <c r="T121" s="6">
        <v>7.69</v>
      </c>
      <c r="U121" s="1" t="str">
        <f>IF(ISNUMBER(SEARCH("Vande Bharat",Table1[[#This Row],[Video title]])),"Vande Bharat","Other")</f>
        <v>Other</v>
      </c>
    </row>
    <row r="122" spans="1:21" x14ac:dyDescent="0.3">
      <c r="A122" s="4" t="s">
        <v>264</v>
      </c>
      <c r="B122" s="1" t="s">
        <v>265</v>
      </c>
      <c r="C122" s="7">
        <v>44229</v>
      </c>
      <c r="D122" s="1">
        <v>205</v>
      </c>
      <c r="E122" s="1">
        <v>51.89</v>
      </c>
      <c r="F122" s="1">
        <v>21</v>
      </c>
      <c r="G122" s="1">
        <v>7</v>
      </c>
      <c r="H122" s="1">
        <v>79</v>
      </c>
      <c r="I122" s="1">
        <v>4</v>
      </c>
      <c r="J122" s="1">
        <v>95.18</v>
      </c>
      <c r="K122" s="1">
        <v>5</v>
      </c>
      <c r="L122" s="1">
        <v>19</v>
      </c>
      <c r="M122" s="1">
        <v>3.673</v>
      </c>
      <c r="N122" s="1">
        <v>32</v>
      </c>
      <c r="O122" s="1">
        <v>3161</v>
      </c>
      <c r="P122" s="1">
        <v>92.961500000000001</v>
      </c>
      <c r="Q122" s="1">
        <v>11.603</v>
      </c>
      <c r="R122" s="5">
        <v>1.2152777777777778E-3</v>
      </c>
      <c r="S122" s="1">
        <v>33970</v>
      </c>
      <c r="T122" s="6">
        <v>7.14</v>
      </c>
      <c r="U122" s="1" t="str">
        <f>IF(ISNUMBER(SEARCH("Vande Bharat",Table1[[#This Row],[Video title]])),"Vande Bharat","Other")</f>
        <v>Other</v>
      </c>
    </row>
    <row r="123" spans="1:21" x14ac:dyDescent="0.3">
      <c r="A123" s="4" t="s">
        <v>266</v>
      </c>
      <c r="B123" s="1" t="s">
        <v>267</v>
      </c>
      <c r="C123" s="7">
        <v>46136</v>
      </c>
      <c r="D123" s="1">
        <v>39</v>
      </c>
      <c r="E123" s="1">
        <v>66.11</v>
      </c>
      <c r="F123" s="1">
        <v>10</v>
      </c>
      <c r="G123" s="1">
        <v>0</v>
      </c>
      <c r="H123" s="1">
        <v>127</v>
      </c>
      <c r="I123" s="1">
        <v>1</v>
      </c>
      <c r="J123" s="1">
        <v>99.22</v>
      </c>
      <c r="K123" s="1">
        <v>16</v>
      </c>
      <c r="L123" s="1">
        <v>5</v>
      </c>
      <c r="M123" s="1">
        <v>1.21</v>
      </c>
      <c r="N123" s="1">
        <v>169</v>
      </c>
      <c r="O123" s="1">
        <v>4768</v>
      </c>
      <c r="P123" s="1">
        <v>22.2836</v>
      </c>
      <c r="Q123" s="1">
        <v>3.7410000000000001</v>
      </c>
      <c r="R123" s="5">
        <v>2.8935185185185184E-4</v>
      </c>
      <c r="S123" s="1">
        <v>13139</v>
      </c>
      <c r="T123" s="6">
        <v>9.91</v>
      </c>
      <c r="U123" s="1" t="str">
        <f>IF(ISNUMBER(SEARCH("Vande Bharat",Table1[[#This Row],[Video title]])),"Vande Bharat","Other")</f>
        <v>Other</v>
      </c>
    </row>
    <row r="124" spans="1:21" x14ac:dyDescent="0.3">
      <c r="A124" s="4" t="s">
        <v>268</v>
      </c>
      <c r="B124" s="1" t="s">
        <v>269</v>
      </c>
      <c r="C124" s="7">
        <v>45521</v>
      </c>
      <c r="D124" s="1">
        <v>13</v>
      </c>
      <c r="E124" s="1">
        <v>109.24</v>
      </c>
      <c r="F124" s="1">
        <v>8</v>
      </c>
      <c r="G124" s="1">
        <v>0</v>
      </c>
      <c r="H124" s="1">
        <v>56</v>
      </c>
      <c r="I124" s="1">
        <v>3</v>
      </c>
      <c r="J124" s="1">
        <v>94.92</v>
      </c>
      <c r="K124" s="1">
        <v>0</v>
      </c>
      <c r="L124" s="1">
        <v>3</v>
      </c>
      <c r="M124" s="1">
        <v>1.3380000000000001</v>
      </c>
      <c r="N124" s="1">
        <v>50</v>
      </c>
      <c r="O124" s="1">
        <v>2618</v>
      </c>
      <c r="P124" s="1">
        <v>10.146599999999999</v>
      </c>
      <c r="Q124" s="1">
        <v>3.4350000000000001</v>
      </c>
      <c r="R124" s="5">
        <v>1.6203703703703703E-4</v>
      </c>
      <c r="S124" s="1">
        <v>3280</v>
      </c>
      <c r="T124" s="6">
        <v>1.86</v>
      </c>
      <c r="U124" s="1" t="str">
        <f>IF(ISNUMBER(SEARCH("Vande Bharat",Table1[[#This Row],[Video title]])),"Vande Bharat","Other")</f>
        <v>Other</v>
      </c>
    </row>
    <row r="125" spans="1:21" x14ac:dyDescent="0.3">
      <c r="A125" s="4" t="s">
        <v>270</v>
      </c>
      <c r="B125" s="1" t="s">
        <v>271</v>
      </c>
      <c r="C125" s="7">
        <v>44279</v>
      </c>
      <c r="D125" s="1">
        <v>225</v>
      </c>
      <c r="E125" s="1">
        <v>32</v>
      </c>
      <c r="F125" s="1">
        <v>7</v>
      </c>
      <c r="G125" s="1">
        <v>1</v>
      </c>
      <c r="H125" s="1">
        <v>54</v>
      </c>
      <c r="I125" s="1">
        <v>2</v>
      </c>
      <c r="J125" s="1">
        <v>96.43</v>
      </c>
      <c r="K125" s="1">
        <v>1</v>
      </c>
      <c r="L125" s="1">
        <v>16</v>
      </c>
      <c r="M125" s="1">
        <v>4.1319999999999997</v>
      </c>
      <c r="N125" s="1">
        <v>41</v>
      </c>
      <c r="O125" s="1">
        <v>2990</v>
      </c>
      <c r="P125" s="1">
        <v>59.803699999999999</v>
      </c>
      <c r="Q125" s="1">
        <v>12.375999999999999</v>
      </c>
      <c r="R125" s="5">
        <v>8.3333333333333339E-4</v>
      </c>
      <c r="S125" s="1">
        <v>31558</v>
      </c>
      <c r="T125" s="6">
        <v>7.48</v>
      </c>
      <c r="U125" s="1" t="str">
        <f>IF(ISNUMBER(SEARCH("Vande Bharat",Table1[[#This Row],[Video title]])),"Vande Bharat","Other")</f>
        <v>Other</v>
      </c>
    </row>
    <row r="126" spans="1:21" x14ac:dyDescent="0.3">
      <c r="A126" s="4" t="s">
        <v>272</v>
      </c>
      <c r="B126" s="1" t="s">
        <v>273</v>
      </c>
      <c r="C126" s="7">
        <v>44272</v>
      </c>
      <c r="D126" s="1">
        <v>484</v>
      </c>
      <c r="E126" s="1">
        <v>24.42</v>
      </c>
      <c r="F126" s="1">
        <v>17</v>
      </c>
      <c r="G126" s="1">
        <v>1</v>
      </c>
      <c r="H126" s="1">
        <v>95</v>
      </c>
      <c r="I126" s="1">
        <v>2</v>
      </c>
      <c r="J126" s="1">
        <v>97.94</v>
      </c>
      <c r="K126" s="1">
        <v>8</v>
      </c>
      <c r="L126" s="1">
        <v>18</v>
      </c>
      <c r="M126" s="1">
        <v>1.7929999999999999</v>
      </c>
      <c r="N126" s="1">
        <v>23</v>
      </c>
      <c r="O126" s="1">
        <v>3000</v>
      </c>
      <c r="P126" s="1">
        <v>98.506100000000004</v>
      </c>
      <c r="Q126" s="1">
        <v>5.3789999999999996</v>
      </c>
      <c r="R126" s="5">
        <v>1.3657407407407407E-3</v>
      </c>
      <c r="S126" s="1">
        <v>34850</v>
      </c>
      <c r="T126" s="6">
        <v>5.84</v>
      </c>
      <c r="U126" s="1" t="str">
        <f>IF(ISNUMBER(SEARCH("Vande Bharat",Table1[[#This Row],[Video title]])),"Vande Bharat","Other")</f>
        <v>Other</v>
      </c>
    </row>
    <row r="127" spans="1:21" x14ac:dyDescent="0.3">
      <c r="A127" s="4" t="s">
        <v>274</v>
      </c>
      <c r="B127" s="1" t="s">
        <v>275</v>
      </c>
      <c r="C127" s="7">
        <v>45484</v>
      </c>
      <c r="D127" s="1">
        <v>2866</v>
      </c>
      <c r="E127" s="1">
        <v>7.75</v>
      </c>
      <c r="F127" s="1">
        <v>7</v>
      </c>
      <c r="G127" s="1">
        <v>0</v>
      </c>
      <c r="H127" s="1">
        <v>47</v>
      </c>
      <c r="I127" s="1">
        <v>3</v>
      </c>
      <c r="J127" s="1">
        <v>94</v>
      </c>
      <c r="K127" s="1">
        <v>12</v>
      </c>
      <c r="L127" s="1">
        <v>10</v>
      </c>
      <c r="M127" s="1">
        <v>25.777999999999999</v>
      </c>
      <c r="N127" s="1">
        <v>153</v>
      </c>
      <c r="O127" s="1">
        <v>3250</v>
      </c>
      <c r="P127" s="1">
        <v>200.45750000000001</v>
      </c>
      <c r="Q127" s="1">
        <v>83.701999999999998</v>
      </c>
      <c r="R127" s="5">
        <v>2.5694444444444445E-3</v>
      </c>
      <c r="S127" s="1">
        <v>43087</v>
      </c>
      <c r="T127" s="6">
        <v>6.15</v>
      </c>
      <c r="U127" s="1" t="str">
        <f>IF(ISNUMBER(SEARCH("Vande Bharat",Table1[[#This Row],[Video title]])),"Vande Bharat","Other")</f>
        <v>Other</v>
      </c>
    </row>
    <row r="128" spans="1:21" x14ac:dyDescent="0.3">
      <c r="A128" s="4" t="s">
        <v>276</v>
      </c>
      <c r="B128" s="1" t="s">
        <v>277</v>
      </c>
      <c r="C128" s="7">
        <v>44681</v>
      </c>
      <c r="D128" s="1">
        <v>649</v>
      </c>
      <c r="E128" s="1">
        <v>17.79</v>
      </c>
      <c r="F128" s="1">
        <v>10</v>
      </c>
      <c r="G128" s="1">
        <v>1</v>
      </c>
      <c r="H128" s="1">
        <v>84</v>
      </c>
      <c r="I128" s="1">
        <v>1</v>
      </c>
      <c r="J128" s="1">
        <v>98.82</v>
      </c>
      <c r="K128" s="1">
        <v>12</v>
      </c>
      <c r="L128" s="1">
        <v>23</v>
      </c>
      <c r="M128" s="1">
        <v>37.854999999999997</v>
      </c>
      <c r="N128" s="1">
        <v>72</v>
      </c>
      <c r="O128" s="1">
        <v>2960</v>
      </c>
      <c r="P128" s="1">
        <v>94.936000000000007</v>
      </c>
      <c r="Q128" s="1">
        <v>112.051</v>
      </c>
      <c r="R128" s="5">
        <v>1.3310185185185185E-3</v>
      </c>
      <c r="S128" s="1">
        <v>23736</v>
      </c>
      <c r="T128" s="6">
        <v>10.67</v>
      </c>
      <c r="U128" s="1" t="str">
        <f>IF(ISNUMBER(SEARCH("Vande Bharat",Table1[[#This Row],[Video title]])),"Vande Bharat","Other")</f>
        <v>Other</v>
      </c>
    </row>
    <row r="129" spans="1:21" x14ac:dyDescent="0.3">
      <c r="A129" s="4" t="s">
        <v>278</v>
      </c>
      <c r="B129" s="1" t="s">
        <v>279</v>
      </c>
      <c r="C129" s="7">
        <v>44720</v>
      </c>
      <c r="D129" s="1">
        <v>1834</v>
      </c>
      <c r="E129" s="1">
        <v>8.3000000000000007</v>
      </c>
      <c r="F129" s="1">
        <v>18</v>
      </c>
      <c r="G129" s="1">
        <v>3</v>
      </c>
      <c r="H129" s="1">
        <v>69</v>
      </c>
      <c r="I129" s="1">
        <v>4</v>
      </c>
      <c r="J129" s="1">
        <v>94.52</v>
      </c>
      <c r="K129" s="1">
        <v>6</v>
      </c>
      <c r="L129" s="1">
        <v>14</v>
      </c>
      <c r="M129" s="1">
        <v>28.039000000000001</v>
      </c>
      <c r="N129" s="1">
        <v>25</v>
      </c>
      <c r="O129" s="1">
        <v>3066</v>
      </c>
      <c r="P129" s="1">
        <v>129.69980000000001</v>
      </c>
      <c r="Q129" s="1">
        <v>86.152000000000001</v>
      </c>
      <c r="R129" s="5">
        <v>1.7592592592592592E-3</v>
      </c>
      <c r="S129" s="1">
        <v>26195</v>
      </c>
      <c r="T129" s="6">
        <v>10.34</v>
      </c>
      <c r="U129" s="1" t="str">
        <f>IF(ISNUMBER(SEARCH("Vande Bharat",Table1[[#This Row],[Video title]])),"Vande Bharat","Other")</f>
        <v>Other</v>
      </c>
    </row>
    <row r="130" spans="1:21" x14ac:dyDescent="0.3">
      <c r="A130" s="4" t="s">
        <v>280</v>
      </c>
      <c r="B130" s="1" t="s">
        <v>281</v>
      </c>
      <c r="C130" s="7">
        <v>44820</v>
      </c>
      <c r="D130" s="1">
        <v>68</v>
      </c>
      <c r="E130" s="1">
        <v>51.58</v>
      </c>
      <c r="F130" s="1">
        <v>9</v>
      </c>
      <c r="G130" s="1">
        <v>2</v>
      </c>
      <c r="H130" s="1">
        <v>71</v>
      </c>
      <c r="I130" s="1">
        <v>0</v>
      </c>
      <c r="J130" s="1">
        <v>100</v>
      </c>
      <c r="K130" s="1">
        <v>15</v>
      </c>
      <c r="L130" s="1">
        <v>16</v>
      </c>
      <c r="M130" s="1">
        <v>11.026999999999999</v>
      </c>
      <c r="N130" s="1">
        <v>58</v>
      </c>
      <c r="O130" s="1">
        <v>2710</v>
      </c>
      <c r="P130" s="1">
        <v>26.4008</v>
      </c>
      <c r="Q130" s="1">
        <v>29.882000000000001</v>
      </c>
      <c r="R130" s="5">
        <v>4.0509259259259258E-4</v>
      </c>
      <c r="S130" s="1">
        <v>15946</v>
      </c>
      <c r="T130" s="6">
        <v>14.75</v>
      </c>
      <c r="U130" s="1" t="str">
        <f>IF(ISNUMBER(SEARCH("Vande Bharat",Table1[[#This Row],[Video title]])),"Vande Bharat","Other")</f>
        <v>Other</v>
      </c>
    </row>
    <row r="131" spans="1:21" x14ac:dyDescent="0.3">
      <c r="A131" s="4" t="s">
        <v>282</v>
      </c>
      <c r="B131" s="1" t="s">
        <v>283</v>
      </c>
      <c r="C131" s="7">
        <v>44196</v>
      </c>
      <c r="D131" s="1">
        <v>122</v>
      </c>
      <c r="E131" s="1">
        <v>44.02</v>
      </c>
      <c r="F131" s="1">
        <v>17</v>
      </c>
      <c r="G131" s="1">
        <v>4</v>
      </c>
      <c r="H131" s="1">
        <v>61</v>
      </c>
      <c r="I131" s="1">
        <v>1</v>
      </c>
      <c r="J131" s="1">
        <v>98.39</v>
      </c>
      <c r="K131" s="1">
        <v>1</v>
      </c>
      <c r="L131" s="1">
        <v>10</v>
      </c>
      <c r="M131" s="1">
        <v>8.9640000000000004</v>
      </c>
      <c r="N131" s="1">
        <v>22</v>
      </c>
      <c r="O131" s="1">
        <v>2736</v>
      </c>
      <c r="P131" s="1">
        <v>40.813800000000001</v>
      </c>
      <c r="Q131" s="1">
        <v>24.498999999999999</v>
      </c>
      <c r="R131" s="5">
        <v>6.134259259259259E-4</v>
      </c>
      <c r="S131" s="1">
        <v>26608</v>
      </c>
      <c r="T131" s="6">
        <v>8.4</v>
      </c>
      <c r="U131" s="1" t="str">
        <f>IF(ISNUMBER(SEARCH("Vande Bharat",Table1[[#This Row],[Video title]])),"Vande Bharat","Other")</f>
        <v>Other</v>
      </c>
    </row>
    <row r="132" spans="1:21" x14ac:dyDescent="0.3">
      <c r="A132" s="4" t="s">
        <v>202</v>
      </c>
      <c r="B132" s="1" t="s">
        <v>203</v>
      </c>
      <c r="C132" s="7">
        <v>45551</v>
      </c>
      <c r="D132" s="1">
        <v>158</v>
      </c>
      <c r="E132" s="1">
        <v>34.89</v>
      </c>
      <c r="F132" s="1">
        <v>5</v>
      </c>
      <c r="G132" s="1">
        <v>0</v>
      </c>
      <c r="H132" s="1">
        <v>33</v>
      </c>
      <c r="I132" s="1">
        <v>3</v>
      </c>
      <c r="J132" s="1">
        <v>91.67</v>
      </c>
      <c r="K132" s="1">
        <v>18</v>
      </c>
      <c r="L132" s="1">
        <v>5</v>
      </c>
      <c r="M132" s="1">
        <v>30.373000000000001</v>
      </c>
      <c r="N132" s="1">
        <v>198</v>
      </c>
      <c r="O132" s="1">
        <v>3639</v>
      </c>
      <c r="P132" s="1">
        <v>55.721600000000002</v>
      </c>
      <c r="Q132" s="1">
        <v>110.526</v>
      </c>
      <c r="R132" s="5">
        <v>6.3657407407407413E-4</v>
      </c>
      <c r="S132" s="1">
        <v>27086</v>
      </c>
      <c r="T132" s="6">
        <v>11.91</v>
      </c>
      <c r="U132" s="1" t="str">
        <f>IF(ISNUMBER(SEARCH("Vande Bharat",Table1[[#This Row],[Video title]])),"Vande Bharat","Other")</f>
        <v>Vande Bharat</v>
      </c>
    </row>
    <row r="133" spans="1:21" x14ac:dyDescent="0.3">
      <c r="A133" s="4" t="s">
        <v>286</v>
      </c>
      <c r="B133" s="1" t="s">
        <v>287</v>
      </c>
      <c r="C133" s="7">
        <v>44334</v>
      </c>
      <c r="D133" s="1">
        <v>495</v>
      </c>
      <c r="E133" s="1">
        <v>27.82</v>
      </c>
      <c r="F133" s="1">
        <v>25</v>
      </c>
      <c r="G133" s="1">
        <v>3</v>
      </c>
      <c r="H133" s="1">
        <v>123</v>
      </c>
      <c r="I133" s="1">
        <v>3</v>
      </c>
      <c r="J133" s="1">
        <v>97.62</v>
      </c>
      <c r="K133" s="1">
        <v>7</v>
      </c>
      <c r="L133" s="1">
        <v>16</v>
      </c>
      <c r="M133" s="1">
        <v>28.396999999999998</v>
      </c>
      <c r="N133" s="1">
        <v>52</v>
      </c>
      <c r="O133" s="1">
        <v>3234</v>
      </c>
      <c r="P133" s="1">
        <v>123.7182</v>
      </c>
      <c r="Q133" s="1">
        <v>91.721999999999994</v>
      </c>
      <c r="R133" s="5">
        <v>1.5856481481481481E-3</v>
      </c>
      <c r="S133" s="1">
        <v>40897</v>
      </c>
      <c r="T133" s="6">
        <v>5.33</v>
      </c>
      <c r="U133" s="1" t="str">
        <f>IF(ISNUMBER(SEARCH("Vande Bharat",Table1[[#This Row],[Video title]])),"Vande Bharat","Other")</f>
        <v>Other</v>
      </c>
    </row>
    <row r="134" spans="1:21" x14ac:dyDescent="0.3">
      <c r="A134" s="4" t="s">
        <v>288</v>
      </c>
      <c r="B134" s="1" t="s">
        <v>289</v>
      </c>
      <c r="C134" s="7">
        <v>44456</v>
      </c>
      <c r="D134" s="1">
        <v>276</v>
      </c>
      <c r="E134" s="1">
        <v>35.42</v>
      </c>
      <c r="F134" s="1">
        <v>20</v>
      </c>
      <c r="G134" s="1">
        <v>2</v>
      </c>
      <c r="H134" s="1">
        <v>104</v>
      </c>
      <c r="I134" s="1">
        <v>5</v>
      </c>
      <c r="J134" s="1">
        <v>95.41</v>
      </c>
      <c r="K134" s="1">
        <v>0</v>
      </c>
      <c r="L134" s="1">
        <v>24</v>
      </c>
      <c r="M134" s="1">
        <v>34.845999999999997</v>
      </c>
      <c r="N134" s="1">
        <v>49</v>
      </c>
      <c r="O134" s="1">
        <v>3191</v>
      </c>
      <c r="P134" s="1">
        <v>86.641400000000004</v>
      </c>
      <c r="Q134" s="1">
        <v>111.194</v>
      </c>
      <c r="R134" s="5">
        <v>1.1226851851851851E-3</v>
      </c>
      <c r="S134" s="1">
        <v>35817</v>
      </c>
      <c r="T134" s="6">
        <v>5.75</v>
      </c>
      <c r="U134" s="1" t="str">
        <f>IF(ISNUMBER(SEARCH("Vande Bharat",Table1[[#This Row],[Video title]])),"Vande Bharat","Other")</f>
        <v>Other</v>
      </c>
    </row>
    <row r="135" spans="1:21" x14ac:dyDescent="0.3">
      <c r="A135" s="4" t="s">
        <v>290</v>
      </c>
      <c r="B135" s="1" t="s">
        <v>291</v>
      </c>
      <c r="C135" s="7">
        <v>45239</v>
      </c>
      <c r="D135" s="1">
        <v>1148</v>
      </c>
      <c r="E135" s="1">
        <v>9.91</v>
      </c>
      <c r="F135" s="1">
        <v>9</v>
      </c>
      <c r="G135" s="1">
        <v>0</v>
      </c>
      <c r="H135" s="1">
        <v>42</v>
      </c>
      <c r="I135" s="1">
        <v>2</v>
      </c>
      <c r="J135" s="1">
        <v>95.45</v>
      </c>
      <c r="K135" s="1">
        <v>12</v>
      </c>
      <c r="L135" s="1">
        <v>7</v>
      </c>
      <c r="M135" s="1">
        <v>51.512999999999998</v>
      </c>
      <c r="N135" s="1">
        <v>86</v>
      </c>
      <c r="O135" s="1">
        <v>2809</v>
      </c>
      <c r="P135" s="1">
        <v>88.804199999999994</v>
      </c>
      <c r="Q135" s="1">
        <v>144.643</v>
      </c>
      <c r="R135" s="5">
        <v>1.3078703703703703E-3</v>
      </c>
      <c r="S135" s="1">
        <v>22726</v>
      </c>
      <c r="T135" s="6">
        <v>7.21</v>
      </c>
      <c r="U135" s="1" t="str">
        <f>IF(ISNUMBER(SEARCH("Vande Bharat",Table1[[#This Row],[Video title]])),"Vande Bharat","Other")</f>
        <v>Other</v>
      </c>
    </row>
    <row r="136" spans="1:21" x14ac:dyDescent="0.3">
      <c r="A136" s="4" t="s">
        <v>292</v>
      </c>
      <c r="B136" s="1" t="s">
        <v>293</v>
      </c>
      <c r="C136" s="7">
        <v>44799</v>
      </c>
      <c r="D136" s="1">
        <v>1249</v>
      </c>
      <c r="E136" s="1">
        <v>16.53</v>
      </c>
      <c r="F136" s="1">
        <v>18</v>
      </c>
      <c r="G136" s="1">
        <v>6</v>
      </c>
      <c r="H136" s="1">
        <v>52</v>
      </c>
      <c r="I136" s="1">
        <v>3</v>
      </c>
      <c r="J136" s="1">
        <v>94.55</v>
      </c>
      <c r="K136" s="1">
        <v>4</v>
      </c>
      <c r="L136" s="1">
        <v>9</v>
      </c>
      <c r="M136" s="1">
        <v>31.138000000000002</v>
      </c>
      <c r="N136" s="1">
        <v>63</v>
      </c>
      <c r="O136" s="1">
        <v>3394</v>
      </c>
      <c r="P136" s="1">
        <v>194.68029999999999</v>
      </c>
      <c r="Q136" s="1">
        <v>105.685</v>
      </c>
      <c r="R136" s="5">
        <v>2.3842592592592591E-3</v>
      </c>
      <c r="S136" s="1">
        <v>35493</v>
      </c>
      <c r="T136" s="6">
        <v>7.93</v>
      </c>
      <c r="U136" s="1" t="str">
        <f>IF(ISNUMBER(SEARCH("Vande Bharat",Table1[[#This Row],[Video title]])),"Vande Bharat","Other")</f>
        <v>Other</v>
      </c>
    </row>
    <row r="137" spans="1:21" x14ac:dyDescent="0.3">
      <c r="A137" s="4" t="s">
        <v>294</v>
      </c>
      <c r="B137" s="1" t="s">
        <v>295</v>
      </c>
      <c r="C137" s="7">
        <v>44561</v>
      </c>
      <c r="D137" s="1">
        <v>106</v>
      </c>
      <c r="E137" s="1">
        <v>40.65</v>
      </c>
      <c r="F137" s="1">
        <v>10</v>
      </c>
      <c r="G137" s="1">
        <v>1</v>
      </c>
      <c r="H137" s="1">
        <v>73</v>
      </c>
      <c r="I137" s="1">
        <v>3</v>
      </c>
      <c r="J137" s="1">
        <v>96.05</v>
      </c>
      <c r="K137" s="1">
        <v>9</v>
      </c>
      <c r="L137" s="1">
        <v>17</v>
      </c>
      <c r="M137" s="1">
        <v>11.840999999999999</v>
      </c>
      <c r="N137" s="1">
        <v>36</v>
      </c>
      <c r="O137" s="1">
        <v>2670</v>
      </c>
      <c r="P137" s="1">
        <v>31.960599999999999</v>
      </c>
      <c r="Q137" s="1">
        <v>31.591999999999999</v>
      </c>
      <c r="R137" s="5">
        <v>4.9768518518518521E-4</v>
      </c>
      <c r="S137" s="1">
        <v>23411</v>
      </c>
      <c r="T137" s="6">
        <v>7.68</v>
      </c>
      <c r="U137" s="1" t="str">
        <f>IF(ISNUMBER(SEARCH("Vande Bharat",Table1[[#This Row],[Video title]])),"Vande Bharat","Other")</f>
        <v>Other</v>
      </c>
    </row>
    <row r="138" spans="1:21" x14ac:dyDescent="0.3">
      <c r="A138" s="4" t="s">
        <v>296</v>
      </c>
      <c r="B138" s="1" t="s">
        <v>297</v>
      </c>
      <c r="C138" s="7">
        <v>44863</v>
      </c>
      <c r="D138" s="1">
        <v>204</v>
      </c>
      <c r="E138" s="1">
        <v>20.39</v>
      </c>
      <c r="F138" s="1">
        <v>0</v>
      </c>
      <c r="G138" s="1">
        <v>0</v>
      </c>
      <c r="H138" s="1">
        <v>33</v>
      </c>
      <c r="I138" s="1">
        <v>1</v>
      </c>
      <c r="J138" s="1">
        <v>97.06</v>
      </c>
      <c r="K138" s="1">
        <v>4</v>
      </c>
      <c r="L138" s="1">
        <v>6</v>
      </c>
      <c r="M138" s="1">
        <v>9.4920000000000009</v>
      </c>
      <c r="N138" s="1">
        <v>51</v>
      </c>
      <c r="O138" s="1">
        <v>2598</v>
      </c>
      <c r="P138" s="1">
        <v>30.023199999999999</v>
      </c>
      <c r="Q138" s="1">
        <v>24.66</v>
      </c>
      <c r="R138" s="5">
        <v>4.7453703703703704E-4</v>
      </c>
      <c r="S138" s="1">
        <v>18601</v>
      </c>
      <c r="T138" s="6">
        <v>12.9</v>
      </c>
      <c r="U138" s="1" t="str">
        <f>IF(ISNUMBER(SEARCH("Vande Bharat",Table1[[#This Row],[Video title]])),"Vande Bharat","Other")</f>
        <v>Other</v>
      </c>
    </row>
    <row r="139" spans="1:21" x14ac:dyDescent="0.3">
      <c r="A139" s="4" t="s">
        <v>298</v>
      </c>
      <c r="B139" s="1" t="s">
        <v>299</v>
      </c>
      <c r="C139" s="7">
        <v>45330</v>
      </c>
      <c r="D139" s="1">
        <v>826</v>
      </c>
      <c r="E139" s="1">
        <v>14.29</v>
      </c>
      <c r="F139" s="1">
        <v>12</v>
      </c>
      <c r="G139" s="1">
        <v>0</v>
      </c>
      <c r="H139" s="1">
        <v>37</v>
      </c>
      <c r="I139" s="1">
        <v>4</v>
      </c>
      <c r="J139" s="1">
        <v>90.24</v>
      </c>
      <c r="K139" s="1">
        <v>11</v>
      </c>
      <c r="L139" s="1">
        <v>9</v>
      </c>
      <c r="M139" s="1">
        <v>31.969000000000001</v>
      </c>
      <c r="N139" s="1">
        <v>90</v>
      </c>
      <c r="O139" s="1">
        <v>2946</v>
      </c>
      <c r="P139" s="1">
        <v>96.617699999999999</v>
      </c>
      <c r="Q139" s="1">
        <v>94.168999999999997</v>
      </c>
      <c r="R139" s="5">
        <v>1.3657407407407407E-3</v>
      </c>
      <c r="S139" s="1">
        <v>29516</v>
      </c>
      <c r="T139" s="6">
        <v>8.58</v>
      </c>
      <c r="U139" s="1" t="str">
        <f>IF(ISNUMBER(SEARCH("Vande Bharat",Table1[[#This Row],[Video title]])),"Vande Bharat","Other")</f>
        <v>Other</v>
      </c>
    </row>
    <row r="140" spans="1:21" x14ac:dyDescent="0.3">
      <c r="A140" s="4" t="s">
        <v>300</v>
      </c>
      <c r="B140" s="1" t="s">
        <v>301</v>
      </c>
      <c r="C140" s="7">
        <v>44273</v>
      </c>
      <c r="D140" s="1">
        <v>251</v>
      </c>
      <c r="E140" s="1">
        <v>36.119999999999997</v>
      </c>
      <c r="F140" s="1">
        <v>16</v>
      </c>
      <c r="G140" s="1">
        <v>1</v>
      </c>
      <c r="H140" s="1">
        <v>117</v>
      </c>
      <c r="I140" s="1">
        <v>3</v>
      </c>
      <c r="J140" s="1">
        <v>97.5</v>
      </c>
      <c r="K140" s="1">
        <v>14</v>
      </c>
      <c r="L140" s="1">
        <v>30</v>
      </c>
      <c r="M140" s="1">
        <v>0.71099999999999997</v>
      </c>
      <c r="N140" s="1">
        <v>32</v>
      </c>
      <c r="O140" s="1">
        <v>2732</v>
      </c>
      <c r="P140" s="1">
        <v>68.811000000000007</v>
      </c>
      <c r="Q140" s="1">
        <v>1.9419999999999999</v>
      </c>
      <c r="R140" s="5">
        <v>1.0416666666666667E-3</v>
      </c>
      <c r="S140" s="1">
        <v>40757</v>
      </c>
      <c r="T140" s="6">
        <v>4.79</v>
      </c>
      <c r="U140" s="1" t="str">
        <f>IF(ISNUMBER(SEARCH("Vande Bharat",Table1[[#This Row],[Video title]])),"Vande Bharat","Other")</f>
        <v>Other</v>
      </c>
    </row>
    <row r="141" spans="1:21" x14ac:dyDescent="0.3">
      <c r="A141" s="4" t="s">
        <v>302</v>
      </c>
      <c r="B141" s="1" t="s">
        <v>303</v>
      </c>
      <c r="C141" s="7">
        <v>45565</v>
      </c>
      <c r="D141" s="1">
        <v>776</v>
      </c>
      <c r="E141" s="1">
        <v>17.45</v>
      </c>
      <c r="F141" s="1">
        <v>7</v>
      </c>
      <c r="G141" s="1">
        <v>0</v>
      </c>
      <c r="H141" s="1">
        <v>28</v>
      </c>
      <c r="I141" s="1">
        <v>6</v>
      </c>
      <c r="J141" s="1">
        <v>82.35</v>
      </c>
      <c r="K141" s="1">
        <v>20</v>
      </c>
      <c r="L141" s="1">
        <v>6</v>
      </c>
      <c r="M141" s="1">
        <v>37.817</v>
      </c>
      <c r="N141" s="1">
        <v>110</v>
      </c>
      <c r="O141" s="1">
        <v>2625</v>
      </c>
      <c r="P141" s="1">
        <v>98.722800000000007</v>
      </c>
      <c r="Q141" s="1">
        <v>99.706000000000003</v>
      </c>
      <c r="R141" s="5">
        <v>1.5625000000000001E-3</v>
      </c>
      <c r="S141" s="1">
        <v>33072</v>
      </c>
      <c r="T141" s="6">
        <v>6.93</v>
      </c>
      <c r="U141" s="1" t="str">
        <f>IF(ISNUMBER(SEARCH("Vande Bharat",Table1[[#This Row],[Video title]])),"Vande Bharat","Other")</f>
        <v>Other</v>
      </c>
    </row>
    <row r="142" spans="1:21" x14ac:dyDescent="0.3">
      <c r="A142" s="4" t="s">
        <v>304</v>
      </c>
      <c r="B142" s="1" t="s">
        <v>305</v>
      </c>
      <c r="C142" s="7">
        <v>44751</v>
      </c>
      <c r="D142" s="1">
        <v>100</v>
      </c>
      <c r="E142" s="1">
        <v>43.6</v>
      </c>
      <c r="F142" s="1">
        <v>3</v>
      </c>
      <c r="G142" s="1">
        <v>2</v>
      </c>
      <c r="H142" s="1">
        <v>44</v>
      </c>
      <c r="I142" s="1">
        <v>0</v>
      </c>
      <c r="J142" s="1">
        <v>100</v>
      </c>
      <c r="K142" s="1">
        <v>2</v>
      </c>
      <c r="L142" s="1">
        <v>11</v>
      </c>
      <c r="M142" s="1">
        <v>11.993</v>
      </c>
      <c r="N142" s="1">
        <v>24</v>
      </c>
      <c r="O142" s="1">
        <v>2419</v>
      </c>
      <c r="P142" s="1">
        <v>29.295300000000001</v>
      </c>
      <c r="Q142" s="1">
        <v>29.01</v>
      </c>
      <c r="R142" s="5">
        <v>4.9768518518518521E-4</v>
      </c>
      <c r="S142" s="1">
        <v>26882</v>
      </c>
      <c r="T142" s="6">
        <v>7.92</v>
      </c>
      <c r="U142" s="1" t="str">
        <f>IF(ISNUMBER(SEARCH("Vande Bharat",Table1[[#This Row],[Video title]])),"Vande Bharat","Other")</f>
        <v>Other</v>
      </c>
    </row>
    <row r="143" spans="1:21" x14ac:dyDescent="0.3">
      <c r="A143" s="4" t="s">
        <v>306</v>
      </c>
      <c r="B143" s="1" t="s">
        <v>307</v>
      </c>
      <c r="C143" s="7">
        <v>44713</v>
      </c>
      <c r="D143" s="1">
        <v>482</v>
      </c>
      <c r="E143" s="1">
        <v>15.55</v>
      </c>
      <c r="F143" s="1">
        <v>7</v>
      </c>
      <c r="G143" s="1">
        <v>1</v>
      </c>
      <c r="H143" s="1">
        <v>46</v>
      </c>
      <c r="I143" s="1">
        <v>2</v>
      </c>
      <c r="J143" s="1">
        <v>95.83</v>
      </c>
      <c r="K143" s="1">
        <v>19</v>
      </c>
      <c r="L143" s="1">
        <v>15</v>
      </c>
      <c r="M143" s="1">
        <v>18.838999999999999</v>
      </c>
      <c r="N143" s="1">
        <v>18</v>
      </c>
      <c r="O143" s="1">
        <v>2520</v>
      </c>
      <c r="P143" s="1">
        <v>52.475999999999999</v>
      </c>
      <c r="Q143" s="1">
        <v>47.473999999999997</v>
      </c>
      <c r="R143" s="5">
        <v>8.564814814814815E-4</v>
      </c>
      <c r="S143" s="1">
        <v>34555</v>
      </c>
      <c r="T143" s="6">
        <v>6.67</v>
      </c>
      <c r="U143" s="1" t="str">
        <f>IF(ISNUMBER(SEARCH("Vande Bharat",Table1[[#This Row],[Video title]])),"Vande Bharat","Other")</f>
        <v>Other</v>
      </c>
    </row>
    <row r="144" spans="1:21" x14ac:dyDescent="0.3">
      <c r="A144" s="4" t="s">
        <v>308</v>
      </c>
      <c r="B144" s="1" t="s">
        <v>309</v>
      </c>
      <c r="C144" s="7">
        <v>44550</v>
      </c>
      <c r="D144" s="1">
        <v>774</v>
      </c>
      <c r="E144" s="1">
        <v>21.04</v>
      </c>
      <c r="F144" s="1">
        <v>13</v>
      </c>
      <c r="G144" s="1">
        <v>1</v>
      </c>
      <c r="H144" s="1">
        <v>80</v>
      </c>
      <c r="I144" s="1">
        <v>2</v>
      </c>
      <c r="J144" s="1">
        <v>97.56</v>
      </c>
      <c r="K144" s="1">
        <v>6</v>
      </c>
      <c r="L144" s="1">
        <v>17</v>
      </c>
      <c r="M144" s="1">
        <v>34.564</v>
      </c>
      <c r="N144" s="1">
        <v>44</v>
      </c>
      <c r="O144" s="1">
        <v>2991</v>
      </c>
      <c r="P144" s="1">
        <v>135.31829999999999</v>
      </c>
      <c r="Q144" s="1">
        <v>103.381</v>
      </c>
      <c r="R144" s="5">
        <v>1.8749999999999999E-3</v>
      </c>
      <c r="S144" s="1">
        <v>33133</v>
      </c>
      <c r="T144" s="6">
        <v>5.05</v>
      </c>
      <c r="U144" s="1" t="str">
        <f>IF(ISNUMBER(SEARCH("Vande Bharat",Table1[[#This Row],[Video title]])),"Vande Bharat","Other")</f>
        <v>Other</v>
      </c>
    </row>
    <row r="145" spans="1:21" x14ac:dyDescent="0.3">
      <c r="A145" s="4" t="s">
        <v>310</v>
      </c>
      <c r="B145" s="1" t="s">
        <v>311</v>
      </c>
      <c r="C145" s="7">
        <v>45094</v>
      </c>
      <c r="D145" s="1">
        <v>2265</v>
      </c>
      <c r="E145" s="1">
        <v>10.1</v>
      </c>
      <c r="F145" s="1">
        <v>7</v>
      </c>
      <c r="G145" s="1">
        <v>0</v>
      </c>
      <c r="H145" s="1">
        <v>60</v>
      </c>
      <c r="I145" s="1">
        <v>2</v>
      </c>
      <c r="J145" s="1">
        <v>96.77</v>
      </c>
      <c r="K145" s="1">
        <v>12</v>
      </c>
      <c r="L145" s="1">
        <v>8</v>
      </c>
      <c r="M145" s="1">
        <v>24.635999999999999</v>
      </c>
      <c r="N145" s="1">
        <v>58</v>
      </c>
      <c r="O145" s="1">
        <v>3322</v>
      </c>
      <c r="P145" s="1">
        <v>211.1584</v>
      </c>
      <c r="Q145" s="1">
        <v>81.84</v>
      </c>
      <c r="R145" s="5">
        <v>2.638888888888889E-3</v>
      </c>
      <c r="S145" s="1">
        <v>31869</v>
      </c>
      <c r="T145" s="6">
        <v>7.86</v>
      </c>
      <c r="U145" s="1" t="str">
        <f>IF(ISNUMBER(SEARCH("Vande Bharat",Table1[[#This Row],[Video title]])),"Vande Bharat","Other")</f>
        <v>Other</v>
      </c>
    </row>
    <row r="146" spans="1:21" x14ac:dyDescent="0.3">
      <c r="A146" s="4" t="s">
        <v>312</v>
      </c>
      <c r="B146" s="1" t="s">
        <v>313</v>
      </c>
      <c r="C146" s="7">
        <v>43479</v>
      </c>
      <c r="D146" s="1">
        <v>72</v>
      </c>
      <c r="E146" s="1">
        <v>45.38</v>
      </c>
      <c r="F146" s="1">
        <v>8</v>
      </c>
      <c r="G146" s="1">
        <v>0</v>
      </c>
      <c r="H146" s="1">
        <v>19</v>
      </c>
      <c r="I146" s="1">
        <v>3</v>
      </c>
      <c r="J146" s="1">
        <v>86.36</v>
      </c>
      <c r="K146" s="1">
        <v>7</v>
      </c>
      <c r="L146" s="1">
        <v>0</v>
      </c>
      <c r="M146" s="1">
        <v>8.1929999999999996</v>
      </c>
      <c r="N146" s="1">
        <v>8</v>
      </c>
      <c r="O146" s="1">
        <v>2429</v>
      </c>
      <c r="P146" s="1">
        <v>22.046500000000002</v>
      </c>
      <c r="Q146" s="1">
        <v>19.902000000000001</v>
      </c>
      <c r="R146" s="5">
        <v>3.7037037037037035E-4</v>
      </c>
      <c r="S146" s="1">
        <v>33275</v>
      </c>
      <c r="T146" s="6">
        <v>6.13</v>
      </c>
      <c r="U146" s="1" t="str">
        <f>IF(ISNUMBER(SEARCH("Vande Bharat",Table1[[#This Row],[Video title]])),"Vande Bharat","Other")</f>
        <v>Other</v>
      </c>
    </row>
    <row r="147" spans="1:21" x14ac:dyDescent="0.3">
      <c r="A147" s="4" t="s">
        <v>314</v>
      </c>
      <c r="B147" s="1" t="s">
        <v>315</v>
      </c>
      <c r="C147" s="7">
        <v>44292</v>
      </c>
      <c r="D147" s="1">
        <v>541</v>
      </c>
      <c r="E147" s="1">
        <v>26.1</v>
      </c>
      <c r="F147" s="1">
        <v>24</v>
      </c>
      <c r="G147" s="1">
        <v>0</v>
      </c>
      <c r="H147" s="1">
        <v>106</v>
      </c>
      <c r="I147" s="1">
        <v>3</v>
      </c>
      <c r="J147" s="1">
        <v>97.25</v>
      </c>
      <c r="K147" s="1">
        <v>11</v>
      </c>
      <c r="L147" s="1">
        <v>32</v>
      </c>
      <c r="M147" s="1">
        <v>2.903</v>
      </c>
      <c r="N147" s="1">
        <v>44</v>
      </c>
      <c r="O147" s="1">
        <v>2695</v>
      </c>
      <c r="P147" s="1">
        <v>105.6953</v>
      </c>
      <c r="Q147" s="1">
        <v>7.8449999999999998</v>
      </c>
      <c r="R147" s="5">
        <v>1.6319444444444445E-3</v>
      </c>
      <c r="S147" s="1">
        <v>39297</v>
      </c>
      <c r="T147" s="6">
        <v>4.87</v>
      </c>
      <c r="U147" s="1" t="str">
        <f>IF(ISNUMBER(SEARCH("Vande Bharat",Table1[[#This Row],[Video title]])),"Vande Bharat","Other")</f>
        <v>Other</v>
      </c>
    </row>
    <row r="148" spans="1:21" x14ac:dyDescent="0.3">
      <c r="A148" s="4" t="s">
        <v>56</v>
      </c>
      <c r="B148" s="1" t="s">
        <v>57</v>
      </c>
      <c r="C148" s="7">
        <v>45548</v>
      </c>
      <c r="D148" s="1">
        <v>150</v>
      </c>
      <c r="E148" s="1">
        <v>40.61</v>
      </c>
      <c r="F148" s="1">
        <v>30</v>
      </c>
      <c r="G148" s="1">
        <v>0</v>
      </c>
      <c r="H148" s="1">
        <v>74</v>
      </c>
      <c r="I148" s="1">
        <v>7</v>
      </c>
      <c r="J148" s="1">
        <v>91.36</v>
      </c>
      <c r="K148" s="1">
        <v>105</v>
      </c>
      <c r="L148" s="1">
        <v>16</v>
      </c>
      <c r="M148" s="1">
        <v>20.114000000000001</v>
      </c>
      <c r="N148" s="1">
        <v>343</v>
      </c>
      <c r="O148" s="1">
        <v>12719</v>
      </c>
      <c r="P148" s="1">
        <v>215.21870000000001</v>
      </c>
      <c r="Q148" s="1">
        <v>255.822</v>
      </c>
      <c r="R148" s="5">
        <v>6.9444444444444447E-4</v>
      </c>
      <c r="S148" s="1">
        <v>94404</v>
      </c>
      <c r="T148" s="6">
        <v>11.97</v>
      </c>
      <c r="U148" s="1" t="str">
        <f>IF(ISNUMBER(SEARCH("Vande Bharat",Table1[[#This Row],[Video title]])),"Vande Bharat","Other")</f>
        <v>Vande Bharat</v>
      </c>
    </row>
    <row r="149" spans="1:21" x14ac:dyDescent="0.3">
      <c r="A149" s="4" t="s">
        <v>152</v>
      </c>
      <c r="B149" s="1" t="s">
        <v>153</v>
      </c>
      <c r="C149" s="7">
        <v>45493</v>
      </c>
      <c r="D149" s="1">
        <v>16</v>
      </c>
      <c r="E149" s="1">
        <v>89.81</v>
      </c>
      <c r="F149" s="1">
        <v>7</v>
      </c>
      <c r="G149" s="1">
        <v>0</v>
      </c>
      <c r="H149" s="1">
        <v>91</v>
      </c>
      <c r="I149" s="1">
        <v>4</v>
      </c>
      <c r="J149" s="1">
        <v>95.79</v>
      </c>
      <c r="K149" s="1">
        <v>1</v>
      </c>
      <c r="L149" s="1">
        <v>1</v>
      </c>
      <c r="M149" s="1">
        <v>1.105</v>
      </c>
      <c r="N149" s="1">
        <v>137</v>
      </c>
      <c r="O149" s="1">
        <v>4592</v>
      </c>
      <c r="P149" s="1">
        <v>15.796900000000001</v>
      </c>
      <c r="Q149" s="1">
        <v>4.3259999999999996</v>
      </c>
      <c r="R149" s="5">
        <v>1.6203703703703703E-4</v>
      </c>
      <c r="S149" s="1">
        <v>9313</v>
      </c>
      <c r="T149" s="6">
        <v>5.25</v>
      </c>
      <c r="U149" s="1" t="str">
        <f>IF(ISNUMBER(SEARCH("Vande Bharat",Table1[[#This Row],[Video title]])),"Vande Bharat","Other")</f>
        <v>Vande Bharat</v>
      </c>
    </row>
    <row r="150" spans="1:21" x14ac:dyDescent="0.3">
      <c r="A150" s="4" t="s">
        <v>320</v>
      </c>
      <c r="B150" s="1" t="s">
        <v>321</v>
      </c>
      <c r="C150" s="7">
        <v>46015</v>
      </c>
      <c r="D150" s="1">
        <v>15</v>
      </c>
      <c r="E150" s="1">
        <v>96.51</v>
      </c>
      <c r="F150" s="1">
        <v>3</v>
      </c>
      <c r="G150" s="1">
        <v>1</v>
      </c>
      <c r="H150" s="1">
        <v>29</v>
      </c>
      <c r="I150" s="1">
        <v>2</v>
      </c>
      <c r="J150" s="1">
        <v>93.55</v>
      </c>
      <c r="K150" s="1">
        <v>7</v>
      </c>
      <c r="L150" s="1">
        <v>1</v>
      </c>
      <c r="M150" s="1">
        <v>1.33</v>
      </c>
      <c r="N150" s="1">
        <v>308</v>
      </c>
      <c r="O150" s="1">
        <v>4677</v>
      </c>
      <c r="P150" s="1">
        <v>10.2872</v>
      </c>
      <c r="Q150" s="1">
        <v>3.1960000000000002</v>
      </c>
      <c r="R150" s="5">
        <v>1.6203703703703703E-4</v>
      </c>
      <c r="S150" s="1">
        <v>5525</v>
      </c>
      <c r="T150" s="6">
        <v>8.2200000000000006</v>
      </c>
      <c r="U150" s="1" t="str">
        <f>IF(ISNUMBER(SEARCH("Vande Bharat",Table1[[#This Row],[Video title]])),"Vande Bharat","Other")</f>
        <v>Other</v>
      </c>
    </row>
    <row r="151" spans="1:21" x14ac:dyDescent="0.3">
      <c r="A151" s="4" t="s">
        <v>322</v>
      </c>
      <c r="B151" s="1" t="s">
        <v>323</v>
      </c>
      <c r="C151" s="7">
        <v>44322</v>
      </c>
      <c r="D151" s="1">
        <v>289</v>
      </c>
      <c r="E151" s="1">
        <v>25.29</v>
      </c>
      <c r="F151" s="1">
        <v>5</v>
      </c>
      <c r="G151" s="1">
        <v>0</v>
      </c>
      <c r="H151" s="1">
        <v>73</v>
      </c>
      <c r="I151" s="1">
        <v>6</v>
      </c>
      <c r="J151" s="1">
        <v>92.41</v>
      </c>
      <c r="K151" s="1">
        <v>8</v>
      </c>
      <c r="L151" s="1">
        <v>25</v>
      </c>
      <c r="M151" s="1">
        <v>16.425999999999998</v>
      </c>
      <c r="N151" s="1">
        <v>27</v>
      </c>
      <c r="O151" s="1">
        <v>2487</v>
      </c>
      <c r="P151" s="1">
        <v>50.492400000000004</v>
      </c>
      <c r="Q151" s="1">
        <v>40.835000000000001</v>
      </c>
      <c r="R151" s="5">
        <v>8.4490740740740739E-4</v>
      </c>
      <c r="S151" s="1">
        <v>28871</v>
      </c>
      <c r="T151" s="6">
        <v>6.5</v>
      </c>
      <c r="U151" s="1" t="str">
        <f>IF(ISNUMBER(SEARCH("Vande Bharat",Table1[[#This Row],[Video title]])),"Vande Bharat","Other")</f>
        <v>Other</v>
      </c>
    </row>
    <row r="152" spans="1:21" x14ac:dyDescent="0.3">
      <c r="A152" s="4" t="s">
        <v>324</v>
      </c>
      <c r="B152" s="1" t="s">
        <v>325</v>
      </c>
      <c r="C152" s="7">
        <v>44414</v>
      </c>
      <c r="D152" s="1">
        <v>223</v>
      </c>
      <c r="E152" s="1">
        <v>39.74</v>
      </c>
      <c r="F152" s="1">
        <v>10</v>
      </c>
      <c r="G152" s="1">
        <v>1</v>
      </c>
      <c r="H152" s="1">
        <v>91</v>
      </c>
      <c r="I152" s="1">
        <v>2</v>
      </c>
      <c r="J152" s="1">
        <v>97.85</v>
      </c>
      <c r="K152" s="1">
        <v>9</v>
      </c>
      <c r="L152" s="1">
        <v>25</v>
      </c>
      <c r="M152" s="1">
        <v>23.86</v>
      </c>
      <c r="N152" s="1">
        <v>30</v>
      </c>
      <c r="O152" s="1">
        <v>2558</v>
      </c>
      <c r="P152" s="1">
        <v>62.962699999999998</v>
      </c>
      <c r="Q152" s="1">
        <v>61.033000000000001</v>
      </c>
      <c r="R152" s="5">
        <v>1.0185185185185184E-3</v>
      </c>
      <c r="S152" s="1">
        <v>16341</v>
      </c>
      <c r="T152" s="6">
        <v>10.85</v>
      </c>
      <c r="U152" s="1" t="str">
        <f>IF(ISNUMBER(SEARCH("Vande Bharat",Table1[[#This Row],[Video title]])),"Vande Bharat","Other")</f>
        <v>Other</v>
      </c>
    </row>
    <row r="153" spans="1:21" x14ac:dyDescent="0.3">
      <c r="A153" s="4" t="s">
        <v>326</v>
      </c>
      <c r="B153" s="1" t="s">
        <v>327</v>
      </c>
      <c r="C153" s="7">
        <v>44376</v>
      </c>
      <c r="D153" s="1">
        <v>99</v>
      </c>
      <c r="E153" s="1">
        <v>42.91</v>
      </c>
      <c r="F153" s="1">
        <v>4</v>
      </c>
      <c r="G153" s="1">
        <v>0</v>
      </c>
      <c r="H153" s="1">
        <v>60</v>
      </c>
      <c r="I153" s="1">
        <v>2</v>
      </c>
      <c r="J153" s="1">
        <v>96.77</v>
      </c>
      <c r="K153" s="1">
        <v>4</v>
      </c>
      <c r="L153" s="1">
        <v>14</v>
      </c>
      <c r="M153" s="1">
        <v>22.423999999999999</v>
      </c>
      <c r="N153" s="1">
        <v>27</v>
      </c>
      <c r="O153" s="1">
        <v>2417</v>
      </c>
      <c r="P153" s="1">
        <v>28.5198</v>
      </c>
      <c r="Q153" s="1">
        <v>54.2</v>
      </c>
      <c r="R153" s="5">
        <v>4.861111111111111E-4</v>
      </c>
      <c r="S153" s="1">
        <v>18719</v>
      </c>
      <c r="T153" s="6">
        <v>9.83</v>
      </c>
      <c r="U153" s="1" t="str">
        <f>IF(ISNUMBER(SEARCH("Vande Bharat",Table1[[#This Row],[Video title]])),"Vande Bharat","Other")</f>
        <v>Other</v>
      </c>
    </row>
    <row r="154" spans="1:21" x14ac:dyDescent="0.3">
      <c r="A154" s="4" t="s">
        <v>328</v>
      </c>
      <c r="B154" s="1" t="s">
        <v>329</v>
      </c>
      <c r="C154" s="7">
        <v>44539</v>
      </c>
      <c r="D154" s="1">
        <v>80</v>
      </c>
      <c r="E154" s="1">
        <v>53.98</v>
      </c>
      <c r="F154" s="1">
        <v>9</v>
      </c>
      <c r="G154" s="1">
        <v>3</v>
      </c>
      <c r="H154" s="1">
        <v>89</v>
      </c>
      <c r="I154" s="1">
        <v>0</v>
      </c>
      <c r="J154" s="1">
        <v>100</v>
      </c>
      <c r="K154" s="1">
        <v>14</v>
      </c>
      <c r="L154" s="1">
        <v>23</v>
      </c>
      <c r="M154" s="1">
        <v>21.762</v>
      </c>
      <c r="N154" s="1">
        <v>33</v>
      </c>
      <c r="O154" s="1">
        <v>2667</v>
      </c>
      <c r="P154" s="1">
        <v>31.993500000000001</v>
      </c>
      <c r="Q154" s="1">
        <v>58.061999999999998</v>
      </c>
      <c r="R154" s="5">
        <v>4.9768518518518521E-4</v>
      </c>
      <c r="S154" s="1">
        <v>16418</v>
      </c>
      <c r="T154" s="6">
        <v>10.37</v>
      </c>
      <c r="U154" s="1" t="str">
        <f>IF(ISNUMBER(SEARCH("Vande Bharat",Table1[[#This Row],[Video title]])),"Vande Bharat","Other")</f>
        <v>Other</v>
      </c>
    </row>
    <row r="155" spans="1:21" x14ac:dyDescent="0.3">
      <c r="A155" s="4" t="s">
        <v>330</v>
      </c>
      <c r="B155" s="1" t="s">
        <v>331</v>
      </c>
      <c r="C155" s="7">
        <v>44346</v>
      </c>
      <c r="D155" s="1">
        <v>222</v>
      </c>
      <c r="E155" s="1">
        <v>31.9</v>
      </c>
      <c r="F155" s="1">
        <v>5</v>
      </c>
      <c r="G155" s="1">
        <v>1</v>
      </c>
      <c r="H155" s="1">
        <v>60</v>
      </c>
      <c r="I155" s="1">
        <v>5</v>
      </c>
      <c r="J155" s="1">
        <v>92.31</v>
      </c>
      <c r="K155" s="1">
        <v>0</v>
      </c>
      <c r="L155" s="1">
        <v>18</v>
      </c>
      <c r="M155" s="1">
        <v>15.544</v>
      </c>
      <c r="N155" s="1">
        <v>22</v>
      </c>
      <c r="O155" s="1">
        <v>2386</v>
      </c>
      <c r="P155" s="1">
        <v>46.931199999999997</v>
      </c>
      <c r="Q155" s="1">
        <v>37.087000000000003</v>
      </c>
      <c r="R155" s="5">
        <v>8.1018518518518516E-4</v>
      </c>
      <c r="S155" s="1">
        <v>21534</v>
      </c>
      <c r="T155" s="6">
        <v>8.61</v>
      </c>
      <c r="U155" s="1" t="str">
        <f>IF(ISNUMBER(SEARCH("Vande Bharat",Table1[[#This Row],[Video title]])),"Vande Bharat","Other")</f>
        <v>Other</v>
      </c>
    </row>
    <row r="156" spans="1:21" x14ac:dyDescent="0.3">
      <c r="A156" s="4" t="s">
        <v>332</v>
      </c>
      <c r="B156" s="1" t="s">
        <v>333</v>
      </c>
      <c r="C156" s="7">
        <v>45454</v>
      </c>
      <c r="D156" s="1">
        <v>377</v>
      </c>
      <c r="E156" s="1">
        <v>23</v>
      </c>
      <c r="F156" s="1">
        <v>10</v>
      </c>
      <c r="G156" s="1">
        <v>0</v>
      </c>
      <c r="H156" s="1">
        <v>38</v>
      </c>
      <c r="I156" s="1">
        <v>7</v>
      </c>
      <c r="J156" s="1">
        <v>84.44</v>
      </c>
      <c r="K156" s="1">
        <v>12</v>
      </c>
      <c r="L156" s="1">
        <v>9</v>
      </c>
      <c r="M156" s="1">
        <v>12.132</v>
      </c>
      <c r="N156" s="1">
        <v>75</v>
      </c>
      <c r="O156" s="1">
        <v>2796</v>
      </c>
      <c r="P156" s="1">
        <v>67.335099999999997</v>
      </c>
      <c r="Q156" s="1">
        <v>33.881999999999998</v>
      </c>
      <c r="R156" s="5">
        <v>9.9537037037037042E-4</v>
      </c>
      <c r="S156" s="1">
        <v>25211</v>
      </c>
      <c r="T156" s="6">
        <v>9.48</v>
      </c>
      <c r="U156" s="1" t="str">
        <f>IF(ISNUMBER(SEARCH("Vande Bharat",Table1[[#This Row],[Video title]])),"Vande Bharat","Other")</f>
        <v>Other</v>
      </c>
    </row>
    <row r="157" spans="1:21" x14ac:dyDescent="0.3">
      <c r="A157" s="4" t="s">
        <v>334</v>
      </c>
      <c r="B157" s="1" t="s">
        <v>335</v>
      </c>
      <c r="C157" s="7">
        <v>43429</v>
      </c>
      <c r="D157" s="1">
        <v>177</v>
      </c>
      <c r="E157" s="1">
        <v>48.22</v>
      </c>
      <c r="F157" s="1">
        <v>8</v>
      </c>
      <c r="G157" s="1">
        <v>0</v>
      </c>
      <c r="H157" s="1">
        <v>29</v>
      </c>
      <c r="I157" s="1">
        <v>1</v>
      </c>
      <c r="J157" s="1">
        <v>96.67</v>
      </c>
      <c r="K157" s="1">
        <v>4</v>
      </c>
      <c r="L157" s="1">
        <v>2</v>
      </c>
      <c r="M157" s="1">
        <v>0.48699999999999999</v>
      </c>
      <c r="N157" s="1">
        <v>4</v>
      </c>
      <c r="O157" s="1">
        <v>2300</v>
      </c>
      <c r="P157" s="1">
        <v>54.527299999999997</v>
      </c>
      <c r="Q157" s="1">
        <v>1.1200000000000001</v>
      </c>
      <c r="R157" s="5">
        <v>9.837962962962962E-4</v>
      </c>
      <c r="S157" s="1">
        <v>10559</v>
      </c>
      <c r="T157" s="6">
        <v>6.85</v>
      </c>
      <c r="U157" s="1" t="str">
        <f>IF(ISNUMBER(SEARCH("Vande Bharat",Table1[[#This Row],[Video title]])),"Vande Bharat","Other")</f>
        <v>Other</v>
      </c>
    </row>
    <row r="158" spans="1:21" x14ac:dyDescent="0.3">
      <c r="A158" s="4" t="s">
        <v>336</v>
      </c>
      <c r="B158" s="1" t="s">
        <v>337</v>
      </c>
      <c r="C158" s="7">
        <v>45064</v>
      </c>
      <c r="D158" s="1">
        <v>1413</v>
      </c>
      <c r="E158" s="1">
        <v>12.32</v>
      </c>
      <c r="F158" s="1">
        <v>8</v>
      </c>
      <c r="G158" s="1">
        <v>1</v>
      </c>
      <c r="H158" s="1">
        <v>53</v>
      </c>
      <c r="I158" s="1">
        <v>2</v>
      </c>
      <c r="J158" s="1">
        <v>96.36</v>
      </c>
      <c r="K158" s="1">
        <v>13</v>
      </c>
      <c r="L158" s="1">
        <v>6</v>
      </c>
      <c r="M158" s="1">
        <v>26.454999999999998</v>
      </c>
      <c r="N158" s="1">
        <v>56</v>
      </c>
      <c r="O158" s="1">
        <v>2922</v>
      </c>
      <c r="P158" s="1">
        <v>141.3013</v>
      </c>
      <c r="Q158" s="1">
        <v>77.274000000000001</v>
      </c>
      <c r="R158" s="5">
        <v>2.0138888888888888E-3</v>
      </c>
      <c r="S158" s="1">
        <v>25842</v>
      </c>
      <c r="T158" s="6">
        <v>9.0500000000000007</v>
      </c>
      <c r="U158" s="1" t="str">
        <f>IF(ISNUMBER(SEARCH("Vande Bharat",Table1[[#This Row],[Video title]])),"Vande Bharat","Other")</f>
        <v>Other</v>
      </c>
    </row>
    <row r="159" spans="1:21" x14ac:dyDescent="0.3">
      <c r="A159" s="4" t="s">
        <v>338</v>
      </c>
      <c r="B159" s="1" t="s">
        <v>339</v>
      </c>
      <c r="C159" s="7">
        <v>44794</v>
      </c>
      <c r="D159" s="1">
        <v>1950</v>
      </c>
      <c r="E159" s="1">
        <v>10.66</v>
      </c>
      <c r="F159" s="1">
        <v>8</v>
      </c>
      <c r="G159" s="1">
        <v>4</v>
      </c>
      <c r="H159" s="1">
        <v>59</v>
      </c>
      <c r="I159" s="1">
        <v>0</v>
      </c>
      <c r="J159" s="1">
        <v>100</v>
      </c>
      <c r="K159" s="1">
        <v>8</v>
      </c>
      <c r="L159" s="1">
        <v>12</v>
      </c>
      <c r="M159" s="1">
        <v>33.47</v>
      </c>
      <c r="N159" s="1">
        <v>35</v>
      </c>
      <c r="O159" s="1">
        <v>2862</v>
      </c>
      <c r="P159" s="1">
        <v>165.30449999999999</v>
      </c>
      <c r="Q159" s="1">
        <v>95.722999999999999</v>
      </c>
      <c r="R159" s="5">
        <v>2.3958333333333331E-3</v>
      </c>
      <c r="S159" s="1">
        <v>23275</v>
      </c>
      <c r="T159" s="6">
        <v>10.6</v>
      </c>
      <c r="U159" s="1" t="str">
        <f>IF(ISNUMBER(SEARCH("Vande Bharat",Table1[[#This Row],[Video title]])),"Vande Bharat","Other")</f>
        <v>Other</v>
      </c>
    </row>
    <row r="160" spans="1:21" x14ac:dyDescent="0.3">
      <c r="A160" s="4" t="s">
        <v>340</v>
      </c>
      <c r="B160" s="1" t="s">
        <v>341</v>
      </c>
      <c r="C160" s="7">
        <v>44221</v>
      </c>
      <c r="D160" s="1">
        <v>985</v>
      </c>
      <c r="E160" s="1">
        <v>19.149999999999999</v>
      </c>
      <c r="F160" s="1">
        <v>28</v>
      </c>
      <c r="G160" s="1">
        <v>3</v>
      </c>
      <c r="H160" s="1">
        <v>78</v>
      </c>
      <c r="I160" s="1">
        <v>0</v>
      </c>
      <c r="J160" s="1">
        <v>100</v>
      </c>
      <c r="K160" s="1">
        <v>4</v>
      </c>
      <c r="L160" s="1">
        <v>33</v>
      </c>
      <c r="M160" s="1">
        <v>2.2090000000000001</v>
      </c>
      <c r="N160" s="1">
        <v>34</v>
      </c>
      <c r="O160" s="1">
        <v>2688</v>
      </c>
      <c r="P160" s="1">
        <v>140.81710000000001</v>
      </c>
      <c r="Q160" s="1">
        <v>5.9379999999999997</v>
      </c>
      <c r="R160" s="5">
        <v>2.1759259259259258E-3</v>
      </c>
      <c r="S160" s="1">
        <v>34360</v>
      </c>
      <c r="T160" s="6">
        <v>5.42</v>
      </c>
      <c r="U160" s="1" t="str">
        <f>IF(ISNUMBER(SEARCH("Vande Bharat",Table1[[#This Row],[Video title]])),"Vande Bharat","Other")</f>
        <v>Other</v>
      </c>
    </row>
    <row r="161" spans="1:21" x14ac:dyDescent="0.3">
      <c r="A161" s="4" t="s">
        <v>342</v>
      </c>
      <c r="B161" s="1" t="s">
        <v>343</v>
      </c>
      <c r="C161" s="7">
        <v>44604</v>
      </c>
      <c r="D161" s="1">
        <v>180</v>
      </c>
      <c r="E161" s="1">
        <v>36.21</v>
      </c>
      <c r="F161" s="1">
        <v>3</v>
      </c>
      <c r="G161" s="1">
        <v>2</v>
      </c>
      <c r="H161" s="1">
        <v>51</v>
      </c>
      <c r="I161" s="1">
        <v>0</v>
      </c>
      <c r="J161" s="1">
        <v>100</v>
      </c>
      <c r="K161" s="1">
        <v>5</v>
      </c>
      <c r="L161" s="1">
        <v>6</v>
      </c>
      <c r="M161" s="1">
        <v>22.396999999999998</v>
      </c>
      <c r="N161" s="1">
        <v>37</v>
      </c>
      <c r="O161" s="1">
        <v>2739</v>
      </c>
      <c r="P161" s="1">
        <v>49.313899999999997</v>
      </c>
      <c r="Q161" s="1">
        <v>61.344999999999999</v>
      </c>
      <c r="R161" s="5">
        <v>7.407407407407407E-4</v>
      </c>
      <c r="S161" s="1">
        <v>20480</v>
      </c>
      <c r="T161" s="6">
        <v>11.27</v>
      </c>
      <c r="U161" s="1" t="str">
        <f>IF(ISNUMBER(SEARCH("Vande Bharat",Table1[[#This Row],[Video title]])),"Vande Bharat","Other")</f>
        <v>Other</v>
      </c>
    </row>
    <row r="162" spans="1:21" x14ac:dyDescent="0.3">
      <c r="A162" s="4" t="s">
        <v>118</v>
      </c>
      <c r="B162" s="1" t="s">
        <v>119</v>
      </c>
      <c r="C162" s="7">
        <v>45492</v>
      </c>
      <c r="D162" s="1">
        <v>15</v>
      </c>
      <c r="E162" s="1">
        <v>92.21</v>
      </c>
      <c r="F162" s="1">
        <v>17</v>
      </c>
      <c r="G162" s="1">
        <v>0</v>
      </c>
      <c r="H162" s="1">
        <v>125</v>
      </c>
      <c r="I162" s="1">
        <v>5</v>
      </c>
      <c r="J162" s="1">
        <v>96.15</v>
      </c>
      <c r="K162" s="1">
        <v>11</v>
      </c>
      <c r="L162" s="1">
        <v>1</v>
      </c>
      <c r="M162" s="1">
        <v>0.97499999999999998</v>
      </c>
      <c r="N162" s="1">
        <v>115</v>
      </c>
      <c r="O162" s="1">
        <v>5832</v>
      </c>
      <c r="P162" s="1">
        <v>22.0808</v>
      </c>
      <c r="Q162" s="1">
        <v>5.5979999999999999</v>
      </c>
      <c r="R162" s="5">
        <v>1.5046296296296297E-4</v>
      </c>
      <c r="S162" s="1">
        <v>21328</v>
      </c>
      <c r="T162" s="6">
        <v>8.7799999999999994</v>
      </c>
      <c r="U162" s="1" t="str">
        <f>IF(ISNUMBER(SEARCH("Vande Bharat",Table1[[#This Row],[Video title]])),"Vande Bharat","Other")</f>
        <v>Vande Bharat</v>
      </c>
    </row>
    <row r="163" spans="1:21" x14ac:dyDescent="0.3">
      <c r="A163" s="4" t="s">
        <v>346</v>
      </c>
      <c r="B163" s="1" t="s">
        <v>347</v>
      </c>
      <c r="C163" s="7">
        <v>44257</v>
      </c>
      <c r="D163" s="1">
        <v>841</v>
      </c>
      <c r="E163" s="1">
        <v>19.62</v>
      </c>
      <c r="F163" s="1">
        <v>13</v>
      </c>
      <c r="G163" s="1">
        <v>1</v>
      </c>
      <c r="H163" s="1">
        <v>86</v>
      </c>
      <c r="I163" s="1">
        <v>1</v>
      </c>
      <c r="J163" s="1">
        <v>98.85</v>
      </c>
      <c r="K163" s="1">
        <v>9</v>
      </c>
      <c r="L163" s="1">
        <v>29</v>
      </c>
      <c r="M163" s="1">
        <v>0.95899999999999996</v>
      </c>
      <c r="N163" s="1">
        <v>28</v>
      </c>
      <c r="O163" s="1">
        <v>2393</v>
      </c>
      <c r="P163" s="1">
        <v>109.6604</v>
      </c>
      <c r="Q163" s="1">
        <v>2.2949999999999999</v>
      </c>
      <c r="R163" s="5">
        <v>1.8981481481481482E-3</v>
      </c>
      <c r="S163" s="1">
        <v>33523</v>
      </c>
      <c r="T163" s="6">
        <v>4.7</v>
      </c>
      <c r="U163" s="1" t="str">
        <f>IF(ISNUMBER(SEARCH("Vande Bharat",Table1[[#This Row],[Video title]])),"Vande Bharat","Other")</f>
        <v>Other</v>
      </c>
    </row>
    <row r="164" spans="1:21" x14ac:dyDescent="0.3">
      <c r="A164" s="4" t="s">
        <v>348</v>
      </c>
      <c r="B164" s="1" t="s">
        <v>349</v>
      </c>
      <c r="C164" s="7">
        <v>44263</v>
      </c>
      <c r="D164" s="1">
        <v>239</v>
      </c>
      <c r="E164" s="1">
        <v>43.02</v>
      </c>
      <c r="F164" s="1">
        <v>13</v>
      </c>
      <c r="G164" s="1">
        <v>4</v>
      </c>
      <c r="H164" s="1">
        <v>103</v>
      </c>
      <c r="I164" s="1">
        <v>3</v>
      </c>
      <c r="J164" s="1">
        <v>97.17</v>
      </c>
      <c r="K164" s="1">
        <v>5</v>
      </c>
      <c r="L164" s="1">
        <v>36</v>
      </c>
      <c r="M164" s="1">
        <v>1.958</v>
      </c>
      <c r="N164" s="1">
        <v>37</v>
      </c>
      <c r="O164" s="1">
        <v>2527</v>
      </c>
      <c r="P164" s="1">
        <v>72.175200000000004</v>
      </c>
      <c r="Q164" s="1">
        <v>4.9470000000000001</v>
      </c>
      <c r="R164" s="5">
        <v>1.1805555555555556E-3</v>
      </c>
      <c r="S164" s="1">
        <v>30350</v>
      </c>
      <c r="T164" s="6">
        <v>6.15</v>
      </c>
      <c r="U164" s="1" t="str">
        <f>IF(ISNUMBER(SEARCH("Vande Bharat",Table1[[#This Row],[Video title]])),"Vande Bharat","Other")</f>
        <v>Other</v>
      </c>
    </row>
    <row r="165" spans="1:21" x14ac:dyDescent="0.3">
      <c r="A165" s="4" t="s">
        <v>350</v>
      </c>
      <c r="B165" s="1" t="s">
        <v>351</v>
      </c>
      <c r="C165" s="7">
        <v>44572</v>
      </c>
      <c r="D165" s="1">
        <v>144</v>
      </c>
      <c r="E165" s="1">
        <v>31.36</v>
      </c>
      <c r="F165" s="1">
        <v>7</v>
      </c>
      <c r="G165" s="1">
        <v>0</v>
      </c>
      <c r="H165" s="1">
        <v>30</v>
      </c>
      <c r="I165" s="1">
        <v>0</v>
      </c>
      <c r="J165" s="1">
        <v>100</v>
      </c>
      <c r="K165" s="1">
        <v>3</v>
      </c>
      <c r="L165" s="1">
        <v>5</v>
      </c>
      <c r="M165" s="1">
        <v>13.446999999999999</v>
      </c>
      <c r="N165" s="1">
        <v>24</v>
      </c>
      <c r="O165" s="1">
        <v>2199</v>
      </c>
      <c r="P165" s="1">
        <v>27.580500000000001</v>
      </c>
      <c r="Q165" s="1">
        <v>29.57</v>
      </c>
      <c r="R165" s="5">
        <v>5.2083333333333333E-4</v>
      </c>
      <c r="S165" s="1">
        <v>20674</v>
      </c>
      <c r="T165" s="6">
        <v>5.19</v>
      </c>
      <c r="U165" s="1" t="str">
        <f>IF(ISNUMBER(SEARCH("Vande Bharat",Table1[[#This Row],[Video title]])),"Vande Bharat","Other")</f>
        <v>Other</v>
      </c>
    </row>
    <row r="166" spans="1:21" x14ac:dyDescent="0.3">
      <c r="A166" s="4" t="s">
        <v>352</v>
      </c>
      <c r="B166" s="1" t="s">
        <v>353</v>
      </c>
      <c r="C166" s="7">
        <v>44403</v>
      </c>
      <c r="D166" s="1">
        <v>363</v>
      </c>
      <c r="E166" s="1">
        <v>32.049999999999997</v>
      </c>
      <c r="F166" s="1">
        <v>7</v>
      </c>
      <c r="G166" s="1">
        <v>2</v>
      </c>
      <c r="H166" s="1">
        <v>84</v>
      </c>
      <c r="I166" s="1">
        <v>4</v>
      </c>
      <c r="J166" s="1">
        <v>95.45</v>
      </c>
      <c r="K166" s="1">
        <v>4</v>
      </c>
      <c r="L166" s="1">
        <v>16</v>
      </c>
      <c r="M166" s="1">
        <v>22.256</v>
      </c>
      <c r="N166" s="1">
        <v>32</v>
      </c>
      <c r="O166" s="1">
        <v>2359</v>
      </c>
      <c r="P166" s="1">
        <v>76.242900000000006</v>
      </c>
      <c r="Q166" s="1">
        <v>52.503</v>
      </c>
      <c r="R166" s="5">
        <v>1.3425925925925925E-3</v>
      </c>
      <c r="S166" s="1">
        <v>25955</v>
      </c>
      <c r="T166" s="6">
        <v>6.44</v>
      </c>
      <c r="U166" s="1" t="str">
        <f>IF(ISNUMBER(SEARCH("Vande Bharat",Table1[[#This Row],[Video title]])),"Vande Bharat","Other")</f>
        <v>Other</v>
      </c>
    </row>
    <row r="167" spans="1:21" x14ac:dyDescent="0.3">
      <c r="A167" s="4" t="s">
        <v>354</v>
      </c>
      <c r="B167" s="1" t="s">
        <v>355</v>
      </c>
      <c r="C167" s="7">
        <v>44269</v>
      </c>
      <c r="D167" s="1">
        <v>530</v>
      </c>
      <c r="E167" s="1">
        <v>28.51</v>
      </c>
      <c r="F167" s="1">
        <v>16</v>
      </c>
      <c r="G167" s="1">
        <v>1</v>
      </c>
      <c r="H167" s="1">
        <v>82</v>
      </c>
      <c r="I167" s="1">
        <v>1</v>
      </c>
      <c r="J167" s="1">
        <v>98.8</v>
      </c>
      <c r="K167" s="1">
        <v>5</v>
      </c>
      <c r="L167" s="1">
        <v>25</v>
      </c>
      <c r="M167" s="1">
        <v>2.2599999999999998</v>
      </c>
      <c r="N167" s="1">
        <v>27</v>
      </c>
      <c r="O167" s="1">
        <v>2419</v>
      </c>
      <c r="P167" s="1">
        <v>101.5304</v>
      </c>
      <c r="Q167" s="1">
        <v>5.4669999999999996</v>
      </c>
      <c r="R167" s="5">
        <v>1.7476851851851852E-3</v>
      </c>
      <c r="S167" s="1">
        <v>30509</v>
      </c>
      <c r="T167" s="6">
        <v>5.42</v>
      </c>
      <c r="U167" s="1" t="str">
        <f>IF(ISNUMBER(SEARCH("Vande Bharat",Table1[[#This Row],[Video title]])),"Vande Bharat","Other")</f>
        <v>Other</v>
      </c>
    </row>
    <row r="168" spans="1:21" x14ac:dyDescent="0.3">
      <c r="A168" s="4" t="s">
        <v>356</v>
      </c>
      <c r="B168" s="1" t="s">
        <v>357</v>
      </c>
      <c r="C168" s="7">
        <v>44568</v>
      </c>
      <c r="D168" s="1">
        <v>1117</v>
      </c>
      <c r="E168" s="1">
        <v>12.7</v>
      </c>
      <c r="F168" s="1">
        <v>3</v>
      </c>
      <c r="G168" s="1">
        <v>1</v>
      </c>
      <c r="H168" s="1">
        <v>71</v>
      </c>
      <c r="I168" s="1">
        <v>2</v>
      </c>
      <c r="J168" s="1">
        <v>97.26</v>
      </c>
      <c r="K168" s="1">
        <v>3</v>
      </c>
      <c r="L168" s="1">
        <v>14</v>
      </c>
      <c r="M168" s="1">
        <v>27.321000000000002</v>
      </c>
      <c r="N168" s="1">
        <v>51</v>
      </c>
      <c r="O168" s="1">
        <v>2369</v>
      </c>
      <c r="P168" s="1">
        <v>93.3249</v>
      </c>
      <c r="Q168" s="1">
        <v>64.724000000000004</v>
      </c>
      <c r="R168" s="5">
        <v>1.6319444444444445E-3</v>
      </c>
      <c r="S168" s="1">
        <v>30453</v>
      </c>
      <c r="T168" s="6">
        <v>4.33</v>
      </c>
      <c r="U168" s="1" t="str">
        <f>IF(ISNUMBER(SEARCH("Vande Bharat",Table1[[#This Row],[Video title]])),"Vande Bharat","Other")</f>
        <v>Other</v>
      </c>
    </row>
    <row r="169" spans="1:21" x14ac:dyDescent="0.3">
      <c r="A169" s="4" t="s">
        <v>358</v>
      </c>
      <c r="B169" s="1" t="s">
        <v>359</v>
      </c>
      <c r="C169" s="7">
        <v>46026</v>
      </c>
      <c r="D169" s="1">
        <v>2103</v>
      </c>
      <c r="E169" s="1">
        <v>12.82</v>
      </c>
      <c r="F169" s="1">
        <v>8</v>
      </c>
      <c r="G169" s="1">
        <v>0</v>
      </c>
      <c r="H169" s="1">
        <v>39</v>
      </c>
      <c r="I169" s="1">
        <v>2</v>
      </c>
      <c r="J169" s="1">
        <v>95.12</v>
      </c>
      <c r="K169" s="1">
        <v>11</v>
      </c>
      <c r="L169" s="1">
        <v>7</v>
      </c>
      <c r="M169" s="1">
        <v>61.978999999999999</v>
      </c>
      <c r="N169" s="1">
        <v>183</v>
      </c>
      <c r="O169" s="1">
        <v>2651</v>
      </c>
      <c r="P169" s="1">
        <v>198.56229999999999</v>
      </c>
      <c r="Q169" s="1">
        <v>162.97800000000001</v>
      </c>
      <c r="R169" s="5">
        <v>3.1134259259259257E-3</v>
      </c>
      <c r="S169" s="1">
        <v>26046</v>
      </c>
      <c r="T169" s="6">
        <v>7.74</v>
      </c>
      <c r="U169" s="1" t="str">
        <f>IF(ISNUMBER(SEARCH("Vande Bharat",Table1[[#This Row],[Video title]])),"Vande Bharat","Other")</f>
        <v>Other</v>
      </c>
    </row>
    <row r="170" spans="1:21" x14ac:dyDescent="0.3">
      <c r="A170" s="4" t="s">
        <v>360</v>
      </c>
      <c r="B170" s="1" t="s">
        <v>361</v>
      </c>
      <c r="C170" s="7">
        <v>44415</v>
      </c>
      <c r="D170" s="1">
        <v>380</v>
      </c>
      <c r="E170" s="1">
        <v>29.21</v>
      </c>
      <c r="F170" s="1">
        <v>7</v>
      </c>
      <c r="G170" s="1">
        <v>1</v>
      </c>
      <c r="H170" s="1">
        <v>85</v>
      </c>
      <c r="I170" s="1">
        <v>4</v>
      </c>
      <c r="J170" s="1">
        <v>95.51</v>
      </c>
      <c r="K170" s="1">
        <v>5</v>
      </c>
      <c r="L170" s="1">
        <v>30</v>
      </c>
      <c r="M170" s="1">
        <v>25.992999999999999</v>
      </c>
      <c r="N170" s="1">
        <v>42</v>
      </c>
      <c r="O170" s="1">
        <v>2262</v>
      </c>
      <c r="P170" s="1">
        <v>69.750600000000006</v>
      </c>
      <c r="Q170" s="1">
        <v>58.795999999999999</v>
      </c>
      <c r="R170" s="5">
        <v>1.2847222222222223E-3</v>
      </c>
      <c r="S170" s="1">
        <v>20738</v>
      </c>
      <c r="T170" s="6">
        <v>7.87</v>
      </c>
      <c r="U170" s="1" t="str">
        <f>IF(ISNUMBER(SEARCH("Vande Bharat",Table1[[#This Row],[Video title]])),"Vande Bharat","Other")</f>
        <v>Other</v>
      </c>
    </row>
    <row r="171" spans="1:21" x14ac:dyDescent="0.3">
      <c r="A171" s="4" t="s">
        <v>362</v>
      </c>
      <c r="B171" s="1" t="s">
        <v>363</v>
      </c>
      <c r="C171" s="7">
        <v>44434</v>
      </c>
      <c r="D171" s="1">
        <v>247</v>
      </c>
      <c r="E171" s="1">
        <v>27.04</v>
      </c>
      <c r="F171" s="1">
        <v>9</v>
      </c>
      <c r="G171" s="1">
        <v>3</v>
      </c>
      <c r="H171" s="1">
        <v>52</v>
      </c>
      <c r="I171" s="1">
        <v>1</v>
      </c>
      <c r="J171" s="1">
        <v>98.11</v>
      </c>
      <c r="K171" s="1">
        <v>0</v>
      </c>
      <c r="L171" s="1">
        <v>6</v>
      </c>
      <c r="M171" s="1">
        <v>25.704000000000001</v>
      </c>
      <c r="N171" s="1">
        <v>24</v>
      </c>
      <c r="O171" s="1">
        <v>2201</v>
      </c>
      <c r="P171" s="1">
        <v>40.830300000000001</v>
      </c>
      <c r="Q171" s="1">
        <v>56.531999999999996</v>
      </c>
      <c r="R171" s="5">
        <v>7.6388888888888893E-4</v>
      </c>
      <c r="S171" s="1">
        <v>16284</v>
      </c>
      <c r="T171" s="6">
        <v>10.19</v>
      </c>
      <c r="U171" s="1" t="str">
        <f>IF(ISNUMBER(SEARCH("Vande Bharat",Table1[[#This Row],[Video title]])),"Vande Bharat","Other")</f>
        <v>Other</v>
      </c>
    </row>
    <row r="172" spans="1:21" x14ac:dyDescent="0.3">
      <c r="A172" s="4" t="s">
        <v>364</v>
      </c>
      <c r="B172" s="1" t="s">
        <v>365</v>
      </c>
      <c r="C172" s="7">
        <v>44697</v>
      </c>
      <c r="D172" s="1">
        <v>67</v>
      </c>
      <c r="E172" s="1">
        <v>40.57</v>
      </c>
      <c r="F172" s="1">
        <v>8</v>
      </c>
      <c r="G172" s="1">
        <v>0</v>
      </c>
      <c r="H172" s="1">
        <v>45</v>
      </c>
      <c r="I172" s="1">
        <v>0</v>
      </c>
      <c r="J172" s="1">
        <v>100</v>
      </c>
      <c r="K172" s="1">
        <v>1</v>
      </c>
      <c r="L172" s="1">
        <v>7</v>
      </c>
      <c r="M172" s="1">
        <v>10.616</v>
      </c>
      <c r="N172" s="1">
        <v>34</v>
      </c>
      <c r="O172" s="1">
        <v>2014</v>
      </c>
      <c r="P172" s="1">
        <v>15.206300000000001</v>
      </c>
      <c r="Q172" s="1">
        <v>21.381</v>
      </c>
      <c r="R172" s="5">
        <v>3.1250000000000001E-4</v>
      </c>
      <c r="S172" s="1">
        <v>26422</v>
      </c>
      <c r="T172" s="6">
        <v>6.98</v>
      </c>
      <c r="U172" s="1" t="str">
        <f>IF(ISNUMBER(SEARCH("Vande Bharat",Table1[[#This Row],[Video title]])),"Vande Bharat","Other")</f>
        <v>Other</v>
      </c>
    </row>
    <row r="173" spans="1:21" x14ac:dyDescent="0.3">
      <c r="A173" s="4" t="s">
        <v>366</v>
      </c>
      <c r="B173" s="1" t="s">
        <v>367</v>
      </c>
      <c r="C173" s="7">
        <v>45167</v>
      </c>
      <c r="D173" s="1">
        <v>1059</v>
      </c>
      <c r="E173" s="1">
        <v>9.0500000000000007</v>
      </c>
      <c r="F173" s="1">
        <v>9</v>
      </c>
      <c r="G173" s="1">
        <v>1</v>
      </c>
      <c r="H173" s="1">
        <v>34</v>
      </c>
      <c r="I173" s="1">
        <v>0</v>
      </c>
      <c r="J173" s="1">
        <v>100</v>
      </c>
      <c r="K173" s="1">
        <v>11</v>
      </c>
      <c r="L173" s="1">
        <v>2</v>
      </c>
      <c r="M173" s="1">
        <v>30.757000000000001</v>
      </c>
      <c r="N173" s="1">
        <v>49</v>
      </c>
      <c r="O173" s="1">
        <v>2263</v>
      </c>
      <c r="P173" s="1">
        <v>60.2164</v>
      </c>
      <c r="Q173" s="1">
        <v>69.474999999999994</v>
      </c>
      <c r="R173" s="5">
        <v>1.0995370370370371E-3</v>
      </c>
      <c r="S173" s="1">
        <v>24672</v>
      </c>
      <c r="T173" s="6">
        <v>6.55</v>
      </c>
      <c r="U173" s="1" t="str">
        <f>IF(ISNUMBER(SEARCH("Vande Bharat",Table1[[#This Row],[Video title]])),"Vande Bharat","Other")</f>
        <v>Other</v>
      </c>
    </row>
    <row r="174" spans="1:21" x14ac:dyDescent="0.3">
      <c r="A174" s="4" t="s">
        <v>368</v>
      </c>
      <c r="B174" s="1" t="s">
        <v>369</v>
      </c>
      <c r="C174" s="7">
        <v>45217</v>
      </c>
      <c r="D174" s="1">
        <v>73</v>
      </c>
      <c r="E174" s="1">
        <v>46</v>
      </c>
      <c r="F174" s="1">
        <v>2</v>
      </c>
      <c r="G174" s="1">
        <v>0</v>
      </c>
      <c r="H174" s="1">
        <v>23</v>
      </c>
      <c r="I174" s="1">
        <v>0</v>
      </c>
      <c r="J174" s="1">
        <v>100</v>
      </c>
      <c r="K174" s="1">
        <v>5</v>
      </c>
      <c r="L174" s="1">
        <v>3</v>
      </c>
      <c r="M174" s="1">
        <v>14.869</v>
      </c>
      <c r="N174" s="1">
        <v>86</v>
      </c>
      <c r="O174" s="1">
        <v>2016</v>
      </c>
      <c r="P174" s="1">
        <v>18.805399999999999</v>
      </c>
      <c r="Q174" s="1">
        <v>29.975999999999999</v>
      </c>
      <c r="R174" s="5">
        <v>3.8194444444444446E-4</v>
      </c>
      <c r="S174" s="1">
        <v>27363</v>
      </c>
      <c r="T174" s="6">
        <v>6.78</v>
      </c>
      <c r="U174" s="1" t="str">
        <f>IF(ISNUMBER(SEARCH("Vande Bharat",Table1[[#This Row],[Video title]])),"Vande Bharat","Other")</f>
        <v>Other</v>
      </c>
    </row>
    <row r="175" spans="1:21" x14ac:dyDescent="0.3">
      <c r="A175" s="4" t="s">
        <v>370</v>
      </c>
      <c r="B175" s="1" t="s">
        <v>371</v>
      </c>
      <c r="C175" s="7">
        <v>44368</v>
      </c>
      <c r="D175" s="1">
        <v>551</v>
      </c>
      <c r="E175" s="1">
        <v>28.88</v>
      </c>
      <c r="F175" s="1">
        <v>5</v>
      </c>
      <c r="G175" s="1">
        <v>3</v>
      </c>
      <c r="H175" s="1">
        <v>89</v>
      </c>
      <c r="I175" s="1">
        <v>1</v>
      </c>
      <c r="J175" s="1">
        <v>98.89</v>
      </c>
      <c r="K175" s="1">
        <v>3</v>
      </c>
      <c r="L175" s="1">
        <v>15</v>
      </c>
      <c r="M175" s="1">
        <v>25.966999999999999</v>
      </c>
      <c r="N175" s="1">
        <v>34</v>
      </c>
      <c r="O175" s="1">
        <v>2240</v>
      </c>
      <c r="P175" s="1">
        <v>99.007199999999997</v>
      </c>
      <c r="Q175" s="1">
        <v>58.164999999999999</v>
      </c>
      <c r="R175" s="5">
        <v>1.8402777777777777E-3</v>
      </c>
      <c r="S175" s="1">
        <v>24230</v>
      </c>
      <c r="T175" s="6">
        <v>6.92</v>
      </c>
      <c r="U175" s="1" t="str">
        <f>IF(ISNUMBER(SEARCH("Vande Bharat",Table1[[#This Row],[Video title]])),"Vande Bharat","Other")</f>
        <v>Other</v>
      </c>
    </row>
    <row r="176" spans="1:21" x14ac:dyDescent="0.3">
      <c r="A176" s="4" t="s">
        <v>372</v>
      </c>
      <c r="B176" s="1" t="s">
        <v>373</v>
      </c>
      <c r="C176" s="7">
        <v>44152</v>
      </c>
      <c r="D176" s="1">
        <v>116</v>
      </c>
      <c r="E176" s="1">
        <v>49.98</v>
      </c>
      <c r="F176" s="1">
        <v>32</v>
      </c>
      <c r="G176" s="1">
        <v>2</v>
      </c>
      <c r="H176" s="1">
        <v>60</v>
      </c>
      <c r="I176" s="1">
        <v>2</v>
      </c>
      <c r="J176" s="1">
        <v>96.77</v>
      </c>
      <c r="K176" s="1">
        <v>9</v>
      </c>
      <c r="L176" s="1">
        <v>19</v>
      </c>
      <c r="M176" s="1">
        <v>0.52500000000000002</v>
      </c>
      <c r="N176" s="1">
        <v>28</v>
      </c>
      <c r="O176" s="1">
        <v>2484</v>
      </c>
      <c r="P176" s="1">
        <v>40.004800000000003</v>
      </c>
      <c r="Q176" s="1">
        <v>1.3049999999999999</v>
      </c>
      <c r="R176" s="5">
        <v>6.5972222222222224E-4</v>
      </c>
      <c r="S176" s="1">
        <v>23176</v>
      </c>
      <c r="T176" s="6">
        <v>7.58</v>
      </c>
      <c r="U176" s="1" t="str">
        <f>IF(ISNUMBER(SEARCH("Vande Bharat",Table1[[#This Row],[Video title]])),"Vande Bharat","Other")</f>
        <v>Other</v>
      </c>
    </row>
    <row r="177" spans="1:21" x14ac:dyDescent="0.3">
      <c r="A177" s="4" t="s">
        <v>374</v>
      </c>
      <c r="B177" s="1" t="s">
        <v>375</v>
      </c>
      <c r="C177" s="7">
        <v>44324</v>
      </c>
      <c r="D177" s="1">
        <v>288</v>
      </c>
      <c r="E177" s="1">
        <v>27.49</v>
      </c>
      <c r="F177" s="1">
        <v>7</v>
      </c>
      <c r="G177" s="1">
        <v>0</v>
      </c>
      <c r="H177" s="1">
        <v>46</v>
      </c>
      <c r="I177" s="1">
        <v>3</v>
      </c>
      <c r="J177" s="1">
        <v>93.88</v>
      </c>
      <c r="K177" s="1">
        <v>5</v>
      </c>
      <c r="L177" s="1">
        <v>15</v>
      </c>
      <c r="M177" s="1">
        <v>14.178000000000001</v>
      </c>
      <c r="N177" s="1">
        <v>18</v>
      </c>
      <c r="O177" s="1">
        <v>2137</v>
      </c>
      <c r="P177" s="1">
        <v>46.996600000000001</v>
      </c>
      <c r="Q177" s="1">
        <v>30.298999999999999</v>
      </c>
      <c r="R177" s="5">
        <v>9.1435185185185185E-4</v>
      </c>
      <c r="S177" s="1">
        <v>22132</v>
      </c>
      <c r="T177" s="6">
        <v>7.37</v>
      </c>
      <c r="U177" s="1" t="str">
        <f>IF(ISNUMBER(SEARCH("Vande Bharat",Table1[[#This Row],[Video title]])),"Vande Bharat","Other")</f>
        <v>Other</v>
      </c>
    </row>
    <row r="178" spans="1:21" x14ac:dyDescent="0.3">
      <c r="A178" s="4" t="s">
        <v>376</v>
      </c>
      <c r="B178" s="1" t="s">
        <v>377</v>
      </c>
      <c r="C178" s="7">
        <v>44463</v>
      </c>
      <c r="D178" s="1">
        <v>2125</v>
      </c>
      <c r="E178" s="1">
        <v>17.95</v>
      </c>
      <c r="F178" s="1">
        <v>13</v>
      </c>
      <c r="G178" s="1">
        <v>4</v>
      </c>
      <c r="H178" s="1">
        <v>71</v>
      </c>
      <c r="I178" s="1">
        <v>2</v>
      </c>
      <c r="J178" s="1">
        <v>97.26</v>
      </c>
      <c r="K178" s="1">
        <v>10</v>
      </c>
      <c r="L178" s="1">
        <v>21</v>
      </c>
      <c r="M178" s="1">
        <v>39.247</v>
      </c>
      <c r="N178" s="1">
        <v>40</v>
      </c>
      <c r="O178" s="1">
        <v>2545</v>
      </c>
      <c r="P178" s="1">
        <v>269.66399999999999</v>
      </c>
      <c r="Q178" s="1">
        <v>99.882999999999996</v>
      </c>
      <c r="R178" s="5">
        <v>4.409722222222222E-3</v>
      </c>
      <c r="S178" s="1">
        <v>31707</v>
      </c>
      <c r="T178" s="6">
        <v>4.5199999999999996</v>
      </c>
      <c r="U178" s="1" t="str">
        <f>IF(ISNUMBER(SEARCH("Vande Bharat",Table1[[#This Row],[Video title]])),"Vande Bharat","Other")</f>
        <v>Other</v>
      </c>
    </row>
    <row r="179" spans="1:21" x14ac:dyDescent="0.3">
      <c r="A179" s="4" t="s">
        <v>378</v>
      </c>
      <c r="B179" s="1" t="s">
        <v>379</v>
      </c>
      <c r="C179" s="7">
        <v>44546</v>
      </c>
      <c r="D179" s="1">
        <v>570</v>
      </c>
      <c r="E179" s="1">
        <v>29.13</v>
      </c>
      <c r="F179" s="1">
        <v>5</v>
      </c>
      <c r="G179" s="1">
        <v>0</v>
      </c>
      <c r="H179" s="1">
        <v>74</v>
      </c>
      <c r="I179" s="1">
        <v>2</v>
      </c>
      <c r="J179" s="1">
        <v>97.37</v>
      </c>
      <c r="K179" s="1">
        <v>3</v>
      </c>
      <c r="L179" s="1">
        <v>12</v>
      </c>
      <c r="M179" s="1">
        <v>31.379000000000001</v>
      </c>
      <c r="N179" s="1">
        <v>35</v>
      </c>
      <c r="O179" s="1">
        <v>2423</v>
      </c>
      <c r="P179" s="1">
        <v>111.7616</v>
      </c>
      <c r="Q179" s="1">
        <v>76.031000000000006</v>
      </c>
      <c r="R179" s="5">
        <v>1.9212962962962964E-3</v>
      </c>
      <c r="S179" s="1">
        <v>27249</v>
      </c>
      <c r="T179" s="6">
        <v>5.21</v>
      </c>
      <c r="U179" s="1" t="str">
        <f>IF(ISNUMBER(SEARCH("Vande Bharat",Table1[[#This Row],[Video title]])),"Vande Bharat","Other")</f>
        <v>Other</v>
      </c>
    </row>
    <row r="180" spans="1:21" x14ac:dyDescent="0.3">
      <c r="A180" s="4" t="s">
        <v>380</v>
      </c>
      <c r="B180" s="1" t="s">
        <v>381</v>
      </c>
      <c r="C180" s="7">
        <v>44562</v>
      </c>
      <c r="D180" s="1">
        <v>554</v>
      </c>
      <c r="E180" s="1">
        <v>20.57</v>
      </c>
      <c r="F180" s="1">
        <v>6</v>
      </c>
      <c r="G180" s="1">
        <v>1</v>
      </c>
      <c r="H180" s="1">
        <v>67</v>
      </c>
      <c r="I180" s="1">
        <v>2</v>
      </c>
      <c r="J180" s="1">
        <v>97.1</v>
      </c>
      <c r="K180" s="1">
        <v>2</v>
      </c>
      <c r="L180" s="1">
        <v>14</v>
      </c>
      <c r="M180" s="1">
        <v>20.37</v>
      </c>
      <c r="N180" s="1">
        <v>52</v>
      </c>
      <c r="O180" s="1">
        <v>2384</v>
      </c>
      <c r="P180" s="1">
        <v>75.470600000000005</v>
      </c>
      <c r="Q180" s="1">
        <v>48.561999999999998</v>
      </c>
      <c r="R180" s="5">
        <v>1.3078703703703703E-3</v>
      </c>
      <c r="S180" s="1">
        <v>26335</v>
      </c>
      <c r="T180" s="6">
        <v>4.91</v>
      </c>
      <c r="U180" s="1" t="str">
        <f>IF(ISNUMBER(SEARCH("Vande Bharat",Table1[[#This Row],[Video title]])),"Vande Bharat","Other")</f>
        <v>Other</v>
      </c>
    </row>
    <row r="181" spans="1:21" x14ac:dyDescent="0.3">
      <c r="A181" s="4" t="s">
        <v>382</v>
      </c>
      <c r="B181" s="1" t="s">
        <v>383</v>
      </c>
      <c r="C181" s="7">
        <v>44266</v>
      </c>
      <c r="D181" s="1">
        <v>287</v>
      </c>
      <c r="E181" s="1">
        <v>39.47</v>
      </c>
      <c r="F181" s="1">
        <v>11</v>
      </c>
      <c r="G181" s="1">
        <v>1</v>
      </c>
      <c r="H181" s="1">
        <v>92</v>
      </c>
      <c r="I181" s="1">
        <v>4</v>
      </c>
      <c r="J181" s="1">
        <v>95.83</v>
      </c>
      <c r="K181" s="1">
        <v>7</v>
      </c>
      <c r="L181" s="1">
        <v>22</v>
      </c>
      <c r="M181" s="1">
        <v>1.573</v>
      </c>
      <c r="N181" s="1">
        <v>22</v>
      </c>
      <c r="O181" s="1">
        <v>2183</v>
      </c>
      <c r="P181" s="1">
        <v>68.686999999999998</v>
      </c>
      <c r="Q181" s="1">
        <v>3.4340000000000002</v>
      </c>
      <c r="R181" s="5">
        <v>1.3078703703703703E-3</v>
      </c>
      <c r="S181" s="1">
        <v>30176</v>
      </c>
      <c r="T181" s="6">
        <v>5.39</v>
      </c>
      <c r="U181" s="1" t="str">
        <f>IF(ISNUMBER(SEARCH("Vande Bharat",Table1[[#This Row],[Video title]])),"Vande Bharat","Other")</f>
        <v>Other</v>
      </c>
    </row>
    <row r="182" spans="1:21" x14ac:dyDescent="0.3">
      <c r="A182" s="4" t="s">
        <v>384</v>
      </c>
      <c r="B182" s="1" t="s">
        <v>385</v>
      </c>
      <c r="C182" s="7">
        <v>44402</v>
      </c>
      <c r="D182" s="1">
        <v>319</v>
      </c>
      <c r="E182" s="1">
        <v>15.95</v>
      </c>
      <c r="F182" s="1">
        <v>5</v>
      </c>
      <c r="G182" s="1">
        <v>1</v>
      </c>
      <c r="H182" s="1">
        <v>38</v>
      </c>
      <c r="I182" s="1">
        <v>5</v>
      </c>
      <c r="J182" s="1">
        <v>88.37</v>
      </c>
      <c r="K182" s="1">
        <v>3</v>
      </c>
      <c r="L182" s="1">
        <v>14</v>
      </c>
      <c r="M182" s="1">
        <v>16.902000000000001</v>
      </c>
      <c r="N182" s="1">
        <v>10</v>
      </c>
      <c r="O182" s="1">
        <v>1903</v>
      </c>
      <c r="P182" s="1">
        <v>26.8903</v>
      </c>
      <c r="Q182" s="1">
        <v>32.164999999999999</v>
      </c>
      <c r="R182" s="5">
        <v>5.7870370370370367E-4</v>
      </c>
      <c r="S182" s="1">
        <v>11272</v>
      </c>
      <c r="T182" s="6">
        <v>12.7</v>
      </c>
      <c r="U182" s="1" t="str">
        <f>IF(ISNUMBER(SEARCH("Vande Bharat",Table1[[#This Row],[Video title]])),"Vande Bharat","Other")</f>
        <v>Other</v>
      </c>
    </row>
    <row r="183" spans="1:21" x14ac:dyDescent="0.3">
      <c r="A183" s="4" t="s">
        <v>386</v>
      </c>
      <c r="B183" s="1" t="s">
        <v>387</v>
      </c>
      <c r="C183" s="7">
        <v>44404</v>
      </c>
      <c r="D183" s="1">
        <v>1473</v>
      </c>
      <c r="E183" s="1">
        <v>14.79</v>
      </c>
      <c r="F183" s="1">
        <v>16</v>
      </c>
      <c r="G183" s="1">
        <v>1</v>
      </c>
      <c r="H183" s="1">
        <v>62</v>
      </c>
      <c r="I183" s="1">
        <v>1</v>
      </c>
      <c r="J183" s="1">
        <v>98.41</v>
      </c>
      <c r="K183" s="1">
        <v>5</v>
      </c>
      <c r="L183" s="1">
        <v>13</v>
      </c>
      <c r="M183" s="1">
        <v>32.615000000000002</v>
      </c>
      <c r="N183" s="1">
        <v>41</v>
      </c>
      <c r="O183" s="1">
        <v>2410</v>
      </c>
      <c r="P183" s="1">
        <v>145.86240000000001</v>
      </c>
      <c r="Q183" s="1">
        <v>78.602000000000004</v>
      </c>
      <c r="R183" s="5">
        <v>2.5115740740740741E-3</v>
      </c>
      <c r="S183" s="1">
        <v>30396</v>
      </c>
      <c r="T183" s="6">
        <v>5.0999999999999996</v>
      </c>
      <c r="U183" s="1" t="str">
        <f>IF(ISNUMBER(SEARCH("Vande Bharat",Table1[[#This Row],[Video title]])),"Vande Bharat","Other")</f>
        <v>Other</v>
      </c>
    </row>
    <row r="184" spans="1:21" x14ac:dyDescent="0.3">
      <c r="A184" s="4" t="s">
        <v>388</v>
      </c>
      <c r="B184" s="1" t="s">
        <v>389</v>
      </c>
      <c r="C184" s="7">
        <v>44390</v>
      </c>
      <c r="D184" s="1">
        <v>163</v>
      </c>
      <c r="E184" s="1">
        <v>49.17</v>
      </c>
      <c r="F184" s="1">
        <v>2</v>
      </c>
      <c r="G184" s="1">
        <v>0</v>
      </c>
      <c r="H184" s="1">
        <v>68</v>
      </c>
      <c r="I184" s="1">
        <v>5</v>
      </c>
      <c r="J184" s="1">
        <v>93.15</v>
      </c>
      <c r="K184" s="1">
        <v>6</v>
      </c>
      <c r="L184" s="1">
        <v>18</v>
      </c>
      <c r="M184" s="1">
        <v>23.356000000000002</v>
      </c>
      <c r="N184" s="1">
        <v>35</v>
      </c>
      <c r="O184" s="1">
        <v>2116</v>
      </c>
      <c r="P184" s="1">
        <v>47.084800000000001</v>
      </c>
      <c r="Q184" s="1">
        <v>49.396999999999998</v>
      </c>
      <c r="R184" s="5">
        <v>9.2592592592592596E-4</v>
      </c>
      <c r="S184" s="1">
        <v>18578</v>
      </c>
      <c r="T184" s="6">
        <v>8.07</v>
      </c>
      <c r="U184" s="1" t="str">
        <f>IF(ISNUMBER(SEARCH("Vande Bharat",Table1[[#This Row],[Video title]])),"Vande Bharat","Other")</f>
        <v>Other</v>
      </c>
    </row>
    <row r="185" spans="1:21" x14ac:dyDescent="0.3">
      <c r="A185" s="4" t="s">
        <v>390</v>
      </c>
      <c r="B185" s="1" t="s">
        <v>391</v>
      </c>
      <c r="C185" s="7">
        <v>44812</v>
      </c>
      <c r="D185" s="1">
        <v>211</v>
      </c>
      <c r="E185" s="1">
        <v>34.76</v>
      </c>
      <c r="F185" s="1">
        <v>3</v>
      </c>
      <c r="G185" s="1">
        <v>1</v>
      </c>
      <c r="H185" s="1">
        <v>36</v>
      </c>
      <c r="I185" s="1">
        <v>1</v>
      </c>
      <c r="J185" s="1">
        <v>97.3</v>
      </c>
      <c r="K185" s="1">
        <v>3</v>
      </c>
      <c r="L185" s="1">
        <v>4</v>
      </c>
      <c r="M185" s="1">
        <v>16.312999999999999</v>
      </c>
      <c r="N185" s="1">
        <v>30</v>
      </c>
      <c r="O185" s="1">
        <v>1995</v>
      </c>
      <c r="P185" s="1">
        <v>40.644199999999998</v>
      </c>
      <c r="Q185" s="1">
        <v>32.542000000000002</v>
      </c>
      <c r="R185" s="5">
        <v>8.4490740740740739E-4</v>
      </c>
      <c r="S185" s="1">
        <v>21539</v>
      </c>
      <c r="T185" s="6">
        <v>8.31</v>
      </c>
      <c r="U185" s="1" t="str">
        <f>IF(ISNUMBER(SEARCH("Vande Bharat",Table1[[#This Row],[Video title]])),"Vande Bharat","Other")</f>
        <v>Other</v>
      </c>
    </row>
    <row r="186" spans="1:21" x14ac:dyDescent="0.3">
      <c r="A186" s="4" t="s">
        <v>392</v>
      </c>
      <c r="B186" s="1" t="s">
        <v>393</v>
      </c>
      <c r="C186" s="7">
        <v>44767</v>
      </c>
      <c r="D186" s="1">
        <v>132</v>
      </c>
      <c r="E186" s="1">
        <v>33.58</v>
      </c>
      <c r="F186" s="1">
        <v>4</v>
      </c>
      <c r="G186" s="1">
        <v>1</v>
      </c>
      <c r="H186" s="1">
        <v>29</v>
      </c>
      <c r="I186" s="1">
        <v>0</v>
      </c>
      <c r="J186" s="1">
        <v>100</v>
      </c>
      <c r="K186" s="1">
        <v>1</v>
      </c>
      <c r="L186" s="1">
        <v>5</v>
      </c>
      <c r="M186" s="1">
        <v>12.157</v>
      </c>
      <c r="N186" s="1">
        <v>9</v>
      </c>
      <c r="O186" s="1">
        <v>1883</v>
      </c>
      <c r="P186" s="1">
        <v>23.181799999999999</v>
      </c>
      <c r="Q186" s="1">
        <v>22.879000000000001</v>
      </c>
      <c r="R186" s="5">
        <v>5.0925925925925921E-4</v>
      </c>
      <c r="S186" s="1">
        <v>16587</v>
      </c>
      <c r="T186" s="6">
        <v>10.199999999999999</v>
      </c>
      <c r="U186" s="1" t="str">
        <f>IF(ISNUMBER(SEARCH("Vande Bharat",Table1[[#This Row],[Video title]])),"Vande Bharat","Other")</f>
        <v>Other</v>
      </c>
    </row>
    <row r="187" spans="1:21" x14ac:dyDescent="0.3">
      <c r="A187" s="4" t="s">
        <v>394</v>
      </c>
      <c r="B187" s="1" t="s">
        <v>395</v>
      </c>
      <c r="C187" s="7">
        <v>44163</v>
      </c>
      <c r="D187" s="1">
        <v>100</v>
      </c>
      <c r="E187" s="1">
        <v>31.54</v>
      </c>
      <c r="F187" s="1">
        <v>8</v>
      </c>
      <c r="G187" s="1">
        <v>1</v>
      </c>
      <c r="H187" s="1">
        <v>49</v>
      </c>
      <c r="I187" s="1">
        <v>8</v>
      </c>
      <c r="J187" s="1">
        <v>85.96</v>
      </c>
      <c r="K187" s="1">
        <v>7</v>
      </c>
      <c r="L187" s="1">
        <v>7</v>
      </c>
      <c r="M187" s="1">
        <v>5.1550000000000002</v>
      </c>
      <c r="N187" s="1">
        <v>74</v>
      </c>
      <c r="O187" s="1">
        <v>1915</v>
      </c>
      <c r="P187" s="1">
        <v>16.777799999999999</v>
      </c>
      <c r="Q187" s="1">
        <v>9.8719999999999999</v>
      </c>
      <c r="R187" s="5">
        <v>3.5879629629629629E-4</v>
      </c>
      <c r="S187" s="1">
        <v>12606</v>
      </c>
      <c r="T187" s="6">
        <v>11.3</v>
      </c>
      <c r="U187" s="1" t="str">
        <f>IF(ISNUMBER(SEARCH("Vande Bharat",Table1[[#This Row],[Video title]])),"Vande Bharat","Other")</f>
        <v>Other</v>
      </c>
    </row>
    <row r="188" spans="1:21" x14ac:dyDescent="0.3">
      <c r="A188" s="4" t="s">
        <v>396</v>
      </c>
      <c r="B188" s="1" t="s">
        <v>397</v>
      </c>
      <c r="C188" s="7">
        <v>44596</v>
      </c>
      <c r="D188" s="1">
        <v>316</v>
      </c>
      <c r="E188" s="1">
        <v>24.63</v>
      </c>
      <c r="F188" s="1">
        <v>4</v>
      </c>
      <c r="G188" s="1">
        <v>0</v>
      </c>
      <c r="H188" s="1">
        <v>59</v>
      </c>
      <c r="I188" s="1">
        <v>1</v>
      </c>
      <c r="J188" s="1">
        <v>98.33</v>
      </c>
      <c r="K188" s="1">
        <v>3</v>
      </c>
      <c r="L188" s="1">
        <v>11</v>
      </c>
      <c r="M188" s="1">
        <v>20.343</v>
      </c>
      <c r="N188" s="1">
        <v>30</v>
      </c>
      <c r="O188" s="1">
        <v>1923</v>
      </c>
      <c r="P188" s="1">
        <v>41.567399999999999</v>
      </c>
      <c r="Q188" s="1">
        <v>39.119</v>
      </c>
      <c r="R188" s="5">
        <v>8.9120370370370373E-4</v>
      </c>
      <c r="S188" s="1">
        <v>14085</v>
      </c>
      <c r="T188" s="6">
        <v>8.4499999999999993</v>
      </c>
      <c r="U188" s="1" t="str">
        <f>IF(ISNUMBER(SEARCH("Vande Bharat",Table1[[#This Row],[Video title]])),"Vande Bharat","Other")</f>
        <v>Other</v>
      </c>
    </row>
    <row r="189" spans="1:21" x14ac:dyDescent="0.3">
      <c r="A189" s="4" t="s">
        <v>398</v>
      </c>
      <c r="B189" s="1" t="s">
        <v>399</v>
      </c>
      <c r="C189" s="7">
        <v>44807</v>
      </c>
      <c r="D189" s="1">
        <v>1279</v>
      </c>
      <c r="E189" s="1">
        <v>14.91</v>
      </c>
      <c r="F189" s="1">
        <v>6</v>
      </c>
      <c r="G189" s="1">
        <v>2</v>
      </c>
      <c r="H189" s="1">
        <v>58</v>
      </c>
      <c r="I189" s="1">
        <v>4</v>
      </c>
      <c r="J189" s="1">
        <v>93.55</v>
      </c>
      <c r="K189" s="1">
        <v>4</v>
      </c>
      <c r="L189" s="1">
        <v>6</v>
      </c>
      <c r="M189" s="1">
        <v>25.132000000000001</v>
      </c>
      <c r="N189" s="1">
        <v>53</v>
      </c>
      <c r="O189" s="1">
        <v>2413</v>
      </c>
      <c r="P189" s="1">
        <v>127.8232</v>
      </c>
      <c r="Q189" s="1">
        <v>60.542000000000002</v>
      </c>
      <c r="R189" s="5">
        <v>2.1990740740740742E-3</v>
      </c>
      <c r="S189" s="1">
        <v>26451</v>
      </c>
      <c r="T189" s="6">
        <v>7.51</v>
      </c>
      <c r="U189" s="1" t="str">
        <f>IF(ISNUMBER(SEARCH("Vande Bharat",Table1[[#This Row],[Video title]])),"Vande Bharat","Other")</f>
        <v>Other</v>
      </c>
    </row>
    <row r="190" spans="1:21" x14ac:dyDescent="0.3">
      <c r="A190" s="4" t="s">
        <v>400</v>
      </c>
      <c r="B190" s="1" t="s">
        <v>401</v>
      </c>
      <c r="C190" s="7">
        <v>45596</v>
      </c>
      <c r="D190" s="1">
        <v>949</v>
      </c>
      <c r="E190" s="1">
        <v>15.35</v>
      </c>
      <c r="F190" s="1">
        <v>3</v>
      </c>
      <c r="G190" s="1">
        <v>0</v>
      </c>
      <c r="H190" s="1">
        <v>36</v>
      </c>
      <c r="I190" s="1">
        <v>2</v>
      </c>
      <c r="J190" s="1">
        <v>94.74</v>
      </c>
      <c r="K190" s="1">
        <v>2</v>
      </c>
      <c r="L190" s="1">
        <v>5</v>
      </c>
      <c r="M190" s="1">
        <v>26.742000000000001</v>
      </c>
      <c r="N190" s="1">
        <v>67</v>
      </c>
      <c r="O190" s="1">
        <v>2069</v>
      </c>
      <c r="P190" s="1">
        <v>83.743099999999998</v>
      </c>
      <c r="Q190" s="1">
        <v>55.302999999999997</v>
      </c>
      <c r="R190" s="5">
        <v>1.6782407407407408E-3</v>
      </c>
      <c r="S190" s="1">
        <v>20721</v>
      </c>
      <c r="T190" s="6">
        <v>8.43</v>
      </c>
      <c r="U190" s="1" t="str">
        <f>IF(ISNUMBER(SEARCH("Vande Bharat",Table1[[#This Row],[Video title]])),"Vande Bharat","Other")</f>
        <v>Other</v>
      </c>
    </row>
    <row r="191" spans="1:21" x14ac:dyDescent="0.3">
      <c r="A191" s="4" t="s">
        <v>402</v>
      </c>
      <c r="B191" s="1" t="s">
        <v>403</v>
      </c>
      <c r="C191" s="7">
        <v>44305</v>
      </c>
      <c r="D191" s="1">
        <v>198</v>
      </c>
      <c r="E191" s="1">
        <v>30.39</v>
      </c>
      <c r="F191" s="1">
        <v>3</v>
      </c>
      <c r="G191" s="1">
        <v>0</v>
      </c>
      <c r="H191" s="1">
        <v>46</v>
      </c>
      <c r="I191" s="1">
        <v>3</v>
      </c>
      <c r="J191" s="1">
        <v>93.88</v>
      </c>
      <c r="K191" s="1">
        <v>4</v>
      </c>
      <c r="L191" s="1">
        <v>15</v>
      </c>
      <c r="M191" s="1">
        <v>16.652999999999999</v>
      </c>
      <c r="N191" s="1">
        <v>24</v>
      </c>
      <c r="O191" s="1">
        <v>1917</v>
      </c>
      <c r="P191" s="1">
        <v>32.045099999999998</v>
      </c>
      <c r="Q191" s="1">
        <v>31.922999999999998</v>
      </c>
      <c r="R191" s="5">
        <v>6.9444444444444447E-4</v>
      </c>
      <c r="S191" s="1">
        <v>15932</v>
      </c>
      <c r="T191" s="6">
        <v>9.5399999999999991</v>
      </c>
      <c r="U191" s="1" t="str">
        <f>IF(ISNUMBER(SEARCH("Vande Bharat",Table1[[#This Row],[Video title]])),"Vande Bharat","Other")</f>
        <v>Other</v>
      </c>
    </row>
    <row r="192" spans="1:21" x14ac:dyDescent="0.3">
      <c r="A192" s="4" t="s">
        <v>404</v>
      </c>
      <c r="B192" s="1" t="s">
        <v>405</v>
      </c>
      <c r="C192" s="7">
        <v>44737</v>
      </c>
      <c r="D192" s="1">
        <v>293</v>
      </c>
      <c r="E192" s="1">
        <v>25.19</v>
      </c>
      <c r="F192" s="1">
        <v>6</v>
      </c>
      <c r="G192" s="1">
        <v>1</v>
      </c>
      <c r="H192" s="1">
        <v>64</v>
      </c>
      <c r="I192" s="1">
        <v>0</v>
      </c>
      <c r="J192" s="1">
        <v>100</v>
      </c>
      <c r="K192" s="1">
        <v>8</v>
      </c>
      <c r="L192" s="1">
        <v>17</v>
      </c>
      <c r="M192" s="1">
        <v>17.850000000000001</v>
      </c>
      <c r="N192" s="1">
        <v>34</v>
      </c>
      <c r="O192" s="1">
        <v>2115</v>
      </c>
      <c r="P192" s="1">
        <v>43.367699999999999</v>
      </c>
      <c r="Q192" s="1">
        <v>37.752000000000002</v>
      </c>
      <c r="R192" s="5">
        <v>8.4490740740740739E-4</v>
      </c>
      <c r="S192" s="1">
        <v>15573</v>
      </c>
      <c r="T192" s="6">
        <v>11.9</v>
      </c>
      <c r="U192" s="1" t="str">
        <f>IF(ISNUMBER(SEARCH("Vande Bharat",Table1[[#This Row],[Video title]])),"Vande Bharat","Other")</f>
        <v>Other</v>
      </c>
    </row>
    <row r="193" spans="1:21" x14ac:dyDescent="0.3">
      <c r="A193" s="4" t="s">
        <v>406</v>
      </c>
      <c r="B193" s="1" t="s">
        <v>407</v>
      </c>
      <c r="C193" s="7">
        <v>44316</v>
      </c>
      <c r="D193" s="1">
        <v>628</v>
      </c>
      <c r="E193" s="1">
        <v>24.85</v>
      </c>
      <c r="F193" s="1">
        <v>3</v>
      </c>
      <c r="G193" s="1">
        <v>1</v>
      </c>
      <c r="H193" s="1">
        <v>78</v>
      </c>
      <c r="I193" s="1">
        <v>0</v>
      </c>
      <c r="J193" s="1">
        <v>100</v>
      </c>
      <c r="K193" s="1">
        <v>8</v>
      </c>
      <c r="L193" s="1">
        <v>18</v>
      </c>
      <c r="M193" s="1">
        <v>38.302999999999997</v>
      </c>
      <c r="N193" s="1">
        <v>32</v>
      </c>
      <c r="O193" s="1">
        <v>2123</v>
      </c>
      <c r="P193" s="1">
        <v>92.048500000000004</v>
      </c>
      <c r="Q193" s="1">
        <v>81.316999999999993</v>
      </c>
      <c r="R193" s="5">
        <v>1.8055555555555555E-3</v>
      </c>
      <c r="S193" s="1">
        <v>23774</v>
      </c>
      <c r="T193" s="6">
        <v>6.08</v>
      </c>
      <c r="U193" s="1" t="str">
        <f>IF(ISNUMBER(SEARCH("Vande Bharat",Table1[[#This Row],[Video title]])),"Vande Bharat","Other")</f>
        <v>Other</v>
      </c>
    </row>
    <row r="194" spans="1:21" x14ac:dyDescent="0.3">
      <c r="A194" s="4" t="s">
        <v>408</v>
      </c>
      <c r="B194" s="1" t="s">
        <v>409</v>
      </c>
      <c r="C194" s="7">
        <v>44178</v>
      </c>
      <c r="D194" s="1">
        <v>326</v>
      </c>
      <c r="E194" s="1">
        <v>38.51</v>
      </c>
      <c r="F194" s="1">
        <v>20</v>
      </c>
      <c r="G194" s="1">
        <v>5</v>
      </c>
      <c r="H194" s="1">
        <v>74</v>
      </c>
      <c r="I194" s="1">
        <v>2</v>
      </c>
      <c r="J194" s="1">
        <v>97.37</v>
      </c>
      <c r="K194" s="1">
        <v>9</v>
      </c>
      <c r="L194" s="1">
        <v>10</v>
      </c>
      <c r="M194" s="1">
        <v>4.5540000000000003</v>
      </c>
      <c r="N194" s="1">
        <v>19</v>
      </c>
      <c r="O194" s="1">
        <v>1984</v>
      </c>
      <c r="P194" s="1">
        <v>69.183700000000002</v>
      </c>
      <c r="Q194" s="1">
        <v>9.0359999999999996</v>
      </c>
      <c r="R194" s="5">
        <v>1.4467592592592592E-3</v>
      </c>
      <c r="S194" s="1">
        <v>20768</v>
      </c>
      <c r="T194" s="6">
        <v>7.18</v>
      </c>
      <c r="U194" s="1" t="str">
        <f>IF(ISNUMBER(SEARCH("Vande Bharat",Table1[[#This Row],[Video title]])),"Vande Bharat","Other")</f>
        <v>Other</v>
      </c>
    </row>
    <row r="195" spans="1:21" x14ac:dyDescent="0.3">
      <c r="A195" s="4" t="s">
        <v>156</v>
      </c>
      <c r="B195" s="1" t="s">
        <v>157</v>
      </c>
      <c r="C195" s="7">
        <v>45442</v>
      </c>
      <c r="D195" s="1">
        <v>12</v>
      </c>
      <c r="E195" s="1">
        <v>93.08</v>
      </c>
      <c r="F195" s="1">
        <v>12</v>
      </c>
      <c r="G195" s="1">
        <v>0</v>
      </c>
      <c r="H195" s="1">
        <v>88</v>
      </c>
      <c r="I195" s="1">
        <v>4</v>
      </c>
      <c r="J195" s="1">
        <v>95.65</v>
      </c>
      <c r="K195" s="1">
        <v>4</v>
      </c>
      <c r="L195" s="1">
        <v>0</v>
      </c>
      <c r="M195" s="1">
        <v>0.17599999999999999</v>
      </c>
      <c r="N195" s="1">
        <v>169</v>
      </c>
      <c r="O195" s="1">
        <v>4017</v>
      </c>
      <c r="P195" s="1">
        <v>12.0777</v>
      </c>
      <c r="Q195" s="1">
        <v>0.68100000000000005</v>
      </c>
      <c r="R195" s="5">
        <v>1.273148148148148E-4</v>
      </c>
      <c r="S195" s="1">
        <v>3355</v>
      </c>
      <c r="T195" s="6">
        <v>2.4700000000000002</v>
      </c>
      <c r="U195" s="1" t="str">
        <f>IF(ISNUMBER(SEARCH("Vande Bharat",Table1[[#This Row],[Video title]])),"Vande Bharat","Other")</f>
        <v>Vande Bharat</v>
      </c>
    </row>
    <row r="196" spans="1:21" x14ac:dyDescent="0.3">
      <c r="A196" s="4" t="s">
        <v>412</v>
      </c>
      <c r="B196" s="1" t="s">
        <v>413</v>
      </c>
      <c r="C196" s="7">
        <v>44252</v>
      </c>
      <c r="D196" s="1">
        <v>264</v>
      </c>
      <c r="E196" s="1">
        <v>39.93</v>
      </c>
      <c r="F196" s="1">
        <v>10</v>
      </c>
      <c r="G196" s="1">
        <v>0</v>
      </c>
      <c r="H196" s="1">
        <v>63</v>
      </c>
      <c r="I196" s="1">
        <v>2</v>
      </c>
      <c r="J196" s="1">
        <v>96.92</v>
      </c>
      <c r="K196" s="1">
        <v>11</v>
      </c>
      <c r="L196" s="1">
        <v>18</v>
      </c>
      <c r="M196" s="1">
        <v>0.58899999999999997</v>
      </c>
      <c r="N196" s="1">
        <v>20</v>
      </c>
      <c r="O196" s="1">
        <v>1996</v>
      </c>
      <c r="P196" s="1">
        <v>58.453000000000003</v>
      </c>
      <c r="Q196" s="1">
        <v>1.175</v>
      </c>
      <c r="R196" s="5">
        <v>1.2152777777777778E-3</v>
      </c>
      <c r="S196" s="1">
        <v>26694</v>
      </c>
      <c r="T196" s="6">
        <v>5.6</v>
      </c>
      <c r="U196" s="1" t="str">
        <f>IF(ISNUMBER(SEARCH("Vande Bharat",Table1[[#This Row],[Video title]])),"Vande Bharat","Other")</f>
        <v>Other</v>
      </c>
    </row>
    <row r="197" spans="1:21" x14ac:dyDescent="0.3">
      <c r="A197" s="4" t="s">
        <v>414</v>
      </c>
      <c r="B197" s="1" t="s">
        <v>415</v>
      </c>
      <c r="C197" s="7">
        <v>43546</v>
      </c>
      <c r="D197" s="1">
        <v>264</v>
      </c>
      <c r="E197" s="1">
        <v>21.45</v>
      </c>
      <c r="F197" s="1">
        <v>7</v>
      </c>
      <c r="G197" s="1">
        <v>1</v>
      </c>
      <c r="H197" s="1">
        <v>47</v>
      </c>
      <c r="I197" s="1">
        <v>0</v>
      </c>
      <c r="J197" s="1">
        <v>100</v>
      </c>
      <c r="K197" s="1">
        <v>5</v>
      </c>
      <c r="L197" s="1">
        <v>2</v>
      </c>
      <c r="M197" s="1">
        <v>2.1619999999999999</v>
      </c>
      <c r="N197" s="1">
        <v>1</v>
      </c>
      <c r="O197" s="1">
        <v>1973</v>
      </c>
      <c r="P197" s="1">
        <v>31.034199999999998</v>
      </c>
      <c r="Q197" s="1">
        <v>4.2649999999999997</v>
      </c>
      <c r="R197" s="5">
        <v>6.4814814814814813E-4</v>
      </c>
      <c r="S197" s="1">
        <v>18029</v>
      </c>
      <c r="T197" s="6">
        <v>8.56</v>
      </c>
      <c r="U197" s="1" t="str">
        <f>IF(ISNUMBER(SEARCH("Vande Bharat",Table1[[#This Row],[Video title]])),"Vande Bharat","Other")</f>
        <v>Other</v>
      </c>
    </row>
    <row r="198" spans="1:21" x14ac:dyDescent="0.3">
      <c r="A198" s="4" t="s">
        <v>416</v>
      </c>
      <c r="B198" s="1" t="s">
        <v>417</v>
      </c>
      <c r="C198" s="7">
        <v>44586</v>
      </c>
      <c r="D198" s="1">
        <v>342</v>
      </c>
      <c r="E198" s="1">
        <v>30.84</v>
      </c>
      <c r="F198" s="1">
        <v>5</v>
      </c>
      <c r="G198" s="1">
        <v>0</v>
      </c>
      <c r="H198" s="1">
        <v>66</v>
      </c>
      <c r="I198" s="1">
        <v>2</v>
      </c>
      <c r="J198" s="1">
        <v>97.06</v>
      </c>
      <c r="K198" s="1">
        <v>5</v>
      </c>
      <c r="L198" s="1">
        <v>8</v>
      </c>
      <c r="M198" s="1">
        <v>19.87</v>
      </c>
      <c r="N198" s="1">
        <v>30</v>
      </c>
      <c r="O198" s="1">
        <v>1833</v>
      </c>
      <c r="P198" s="1">
        <v>53.704999999999998</v>
      </c>
      <c r="Q198" s="1">
        <v>36.420999999999999</v>
      </c>
      <c r="R198" s="5">
        <v>1.2152777777777778E-3</v>
      </c>
      <c r="S198" s="1">
        <v>18727</v>
      </c>
      <c r="T198" s="6">
        <v>6.04</v>
      </c>
      <c r="U198" s="1" t="str">
        <f>IF(ISNUMBER(SEARCH("Vande Bharat",Table1[[#This Row],[Video title]])),"Vande Bharat","Other")</f>
        <v>Other</v>
      </c>
    </row>
    <row r="199" spans="1:21" x14ac:dyDescent="0.3">
      <c r="A199" s="4" t="s">
        <v>418</v>
      </c>
      <c r="B199" s="1" t="s">
        <v>419</v>
      </c>
      <c r="C199" s="7">
        <v>46015</v>
      </c>
      <c r="D199" s="1">
        <v>28</v>
      </c>
      <c r="E199" s="1">
        <v>65.64</v>
      </c>
      <c r="F199" s="1">
        <v>5</v>
      </c>
      <c r="G199" s="1">
        <v>1</v>
      </c>
      <c r="H199" s="1">
        <v>93</v>
      </c>
      <c r="I199" s="1">
        <v>0</v>
      </c>
      <c r="J199" s="1">
        <v>100</v>
      </c>
      <c r="K199" s="1">
        <v>2</v>
      </c>
      <c r="L199" s="1">
        <v>8</v>
      </c>
      <c r="M199" s="1">
        <v>0.91100000000000003</v>
      </c>
      <c r="N199" s="1">
        <v>118</v>
      </c>
      <c r="O199" s="1">
        <v>3419</v>
      </c>
      <c r="P199" s="1">
        <v>9.0838000000000001</v>
      </c>
      <c r="Q199" s="1">
        <v>1.51</v>
      </c>
      <c r="R199" s="5">
        <v>2.0833333333333335E-4</v>
      </c>
      <c r="S199" s="1">
        <v>1123</v>
      </c>
      <c r="T199" s="6">
        <v>4.3600000000000003</v>
      </c>
      <c r="U199" s="1" t="str">
        <f>IF(ISNUMBER(SEARCH("Vande Bharat",Table1[[#This Row],[Video title]])),"Vande Bharat","Other")</f>
        <v>Other</v>
      </c>
    </row>
    <row r="200" spans="1:21" x14ac:dyDescent="0.3">
      <c r="A200" s="4" t="s">
        <v>420</v>
      </c>
      <c r="B200" s="1" t="s">
        <v>421</v>
      </c>
      <c r="C200" s="7">
        <v>44084</v>
      </c>
      <c r="D200" s="1">
        <v>79</v>
      </c>
      <c r="E200" s="1">
        <v>49.48</v>
      </c>
      <c r="F200" s="1">
        <v>8</v>
      </c>
      <c r="G200" s="1">
        <v>0</v>
      </c>
      <c r="H200" s="1">
        <v>52</v>
      </c>
      <c r="I200" s="1">
        <v>16</v>
      </c>
      <c r="J200" s="1">
        <v>76.47</v>
      </c>
      <c r="K200" s="1">
        <v>6</v>
      </c>
      <c r="L200" s="1">
        <v>5</v>
      </c>
      <c r="M200" s="1">
        <v>1.7999999999999999E-2</v>
      </c>
      <c r="N200" s="1">
        <v>5</v>
      </c>
      <c r="O200" s="1">
        <v>1638</v>
      </c>
      <c r="P200" s="1">
        <v>17.787199999999999</v>
      </c>
      <c r="Q200" s="1">
        <v>0.03</v>
      </c>
      <c r="R200" s="5">
        <v>4.5138888888888887E-4</v>
      </c>
      <c r="S200" s="1">
        <v>3983</v>
      </c>
      <c r="T200" s="6">
        <v>4.1399999999999997</v>
      </c>
      <c r="U200" s="1" t="str">
        <f>IF(ISNUMBER(SEARCH("Vande Bharat",Table1[[#This Row],[Video title]])),"Vande Bharat","Other")</f>
        <v>Other</v>
      </c>
    </row>
    <row r="201" spans="1:21" x14ac:dyDescent="0.3">
      <c r="A201" s="4" t="s">
        <v>422</v>
      </c>
      <c r="B201" s="1" t="s">
        <v>423</v>
      </c>
      <c r="C201" s="7">
        <v>44294</v>
      </c>
      <c r="D201" s="1">
        <v>230</v>
      </c>
      <c r="E201" s="1">
        <v>40.08</v>
      </c>
      <c r="F201" s="1">
        <v>10</v>
      </c>
      <c r="G201" s="1">
        <v>1</v>
      </c>
      <c r="H201" s="1">
        <v>59</v>
      </c>
      <c r="I201" s="1">
        <v>0</v>
      </c>
      <c r="J201" s="1">
        <v>100</v>
      </c>
      <c r="K201" s="1">
        <v>6</v>
      </c>
      <c r="L201" s="1">
        <v>23</v>
      </c>
      <c r="M201" s="1">
        <v>5.4279999999999999</v>
      </c>
      <c r="N201" s="1">
        <v>24</v>
      </c>
      <c r="O201" s="1">
        <v>1939</v>
      </c>
      <c r="P201" s="1">
        <v>49.654299999999999</v>
      </c>
      <c r="Q201" s="1">
        <v>10.523999999999999</v>
      </c>
      <c r="R201" s="5">
        <v>1.0648148148148149E-3</v>
      </c>
      <c r="S201" s="1">
        <v>22012</v>
      </c>
      <c r="T201" s="6">
        <v>6.55</v>
      </c>
      <c r="U201" s="1" t="str">
        <f>IF(ISNUMBER(SEARCH("Vande Bharat",Table1[[#This Row],[Video title]])),"Vande Bharat","Other")</f>
        <v>Other</v>
      </c>
    </row>
    <row r="202" spans="1:21" x14ac:dyDescent="0.3">
      <c r="A202" s="4" t="s">
        <v>424</v>
      </c>
      <c r="B202" s="1" t="s">
        <v>425</v>
      </c>
      <c r="C202" s="7">
        <v>44260</v>
      </c>
      <c r="D202" s="1">
        <v>3386</v>
      </c>
      <c r="E202" s="1">
        <v>9.9499999999999993</v>
      </c>
      <c r="F202" s="1">
        <v>10</v>
      </c>
      <c r="G202" s="1">
        <v>0</v>
      </c>
      <c r="H202" s="1">
        <v>80</v>
      </c>
      <c r="I202" s="1">
        <v>8</v>
      </c>
      <c r="J202" s="1">
        <v>90.91</v>
      </c>
      <c r="K202" s="1">
        <v>7</v>
      </c>
      <c r="L202" s="1">
        <v>33</v>
      </c>
      <c r="M202" s="1">
        <v>2.8210000000000002</v>
      </c>
      <c r="N202" s="1">
        <v>25</v>
      </c>
      <c r="O202" s="1">
        <v>2013</v>
      </c>
      <c r="P202" s="1">
        <v>188.43299999999999</v>
      </c>
      <c r="Q202" s="1">
        <v>5.6779999999999999</v>
      </c>
      <c r="R202" s="5">
        <v>3.8888888888888888E-3</v>
      </c>
      <c r="S202" s="1">
        <v>32357</v>
      </c>
      <c r="T202" s="6">
        <v>4.01</v>
      </c>
      <c r="U202" s="1" t="str">
        <f>IF(ISNUMBER(SEARCH("Vande Bharat",Table1[[#This Row],[Video title]])),"Vande Bharat","Other")</f>
        <v>Other</v>
      </c>
    </row>
    <row r="203" spans="1:21" x14ac:dyDescent="0.3">
      <c r="A203" s="4" t="s">
        <v>426</v>
      </c>
      <c r="B203" s="1" t="s">
        <v>427</v>
      </c>
      <c r="C203" s="7">
        <v>46201</v>
      </c>
      <c r="D203" s="1">
        <v>1192</v>
      </c>
      <c r="E203" s="1">
        <v>13.66</v>
      </c>
      <c r="F203" s="1">
        <v>5</v>
      </c>
      <c r="G203" s="1">
        <v>1</v>
      </c>
      <c r="H203" s="1">
        <v>42</v>
      </c>
      <c r="I203" s="1">
        <v>2</v>
      </c>
      <c r="J203" s="1">
        <v>95.45</v>
      </c>
      <c r="K203" s="1">
        <v>14</v>
      </c>
      <c r="L203" s="1">
        <v>4</v>
      </c>
      <c r="M203" s="1">
        <v>35.674999999999997</v>
      </c>
      <c r="N203" s="1">
        <v>145</v>
      </c>
      <c r="O203" s="1">
        <v>1763</v>
      </c>
      <c r="P203" s="1">
        <v>79.756200000000007</v>
      </c>
      <c r="Q203" s="1">
        <v>62.521000000000001</v>
      </c>
      <c r="R203" s="5">
        <v>1.8749999999999999E-3</v>
      </c>
      <c r="S203" s="1">
        <v>24636</v>
      </c>
      <c r="T203" s="6">
        <v>6.19</v>
      </c>
      <c r="U203" s="1" t="str">
        <f>IF(ISNUMBER(SEARCH("Vande Bharat",Table1[[#This Row],[Video title]])),"Vande Bharat","Other")</f>
        <v>Other</v>
      </c>
    </row>
    <row r="204" spans="1:21" x14ac:dyDescent="0.3">
      <c r="A204" s="4" t="s">
        <v>428</v>
      </c>
      <c r="B204" s="1" t="s">
        <v>429</v>
      </c>
      <c r="C204" s="7">
        <v>44819</v>
      </c>
      <c r="D204" s="1">
        <v>112</v>
      </c>
      <c r="E204" s="1">
        <v>41.54</v>
      </c>
      <c r="F204" s="1">
        <v>6</v>
      </c>
      <c r="G204" s="1">
        <v>0</v>
      </c>
      <c r="H204" s="1">
        <v>49</v>
      </c>
      <c r="I204" s="1">
        <v>1</v>
      </c>
      <c r="J204" s="1">
        <v>98</v>
      </c>
      <c r="K204" s="1">
        <v>7</v>
      </c>
      <c r="L204" s="1">
        <v>14</v>
      </c>
      <c r="M204" s="1">
        <v>20.067</v>
      </c>
      <c r="N204" s="1">
        <v>46</v>
      </c>
      <c r="O204" s="1">
        <v>1902</v>
      </c>
      <c r="P204" s="1">
        <v>24.580400000000001</v>
      </c>
      <c r="Q204" s="1">
        <v>38.167000000000002</v>
      </c>
      <c r="R204" s="5">
        <v>5.3240740740740744E-4</v>
      </c>
      <c r="S204" s="1">
        <v>11891</v>
      </c>
      <c r="T204" s="6">
        <v>13.63</v>
      </c>
      <c r="U204" s="1" t="str">
        <f>IF(ISNUMBER(SEARCH("Vande Bharat",Table1[[#This Row],[Video title]])),"Vande Bharat","Other")</f>
        <v>Other</v>
      </c>
    </row>
    <row r="205" spans="1:21" x14ac:dyDescent="0.3">
      <c r="A205" s="4" t="s">
        <v>430</v>
      </c>
      <c r="B205" s="1" t="s">
        <v>431</v>
      </c>
      <c r="C205" s="7">
        <v>44749</v>
      </c>
      <c r="D205" s="1">
        <v>1985</v>
      </c>
      <c r="E205" s="1">
        <v>9.23</v>
      </c>
      <c r="F205" s="1">
        <v>4</v>
      </c>
      <c r="G205" s="1">
        <v>0</v>
      </c>
      <c r="H205" s="1">
        <v>45</v>
      </c>
      <c r="I205" s="1">
        <v>1</v>
      </c>
      <c r="J205" s="1">
        <v>97.83</v>
      </c>
      <c r="K205" s="1">
        <v>1</v>
      </c>
      <c r="L205" s="1">
        <v>10</v>
      </c>
      <c r="M205" s="1">
        <v>24.69</v>
      </c>
      <c r="N205" s="1">
        <v>32</v>
      </c>
      <c r="O205" s="1">
        <v>1870</v>
      </c>
      <c r="P205" s="1">
        <v>95.146199999999993</v>
      </c>
      <c r="Q205" s="1">
        <v>46.121000000000002</v>
      </c>
      <c r="R205" s="5">
        <v>2.1180555555555558E-3</v>
      </c>
      <c r="S205" s="1">
        <v>14189</v>
      </c>
      <c r="T205" s="6">
        <v>11.16</v>
      </c>
      <c r="U205" s="1" t="str">
        <f>IF(ISNUMBER(SEARCH("Vande Bharat",Table1[[#This Row],[Video title]])),"Vande Bharat","Other")</f>
        <v>Other</v>
      </c>
    </row>
    <row r="206" spans="1:21" x14ac:dyDescent="0.3">
      <c r="A206" s="4" t="s">
        <v>432</v>
      </c>
      <c r="B206" s="1" t="s">
        <v>433</v>
      </c>
      <c r="C206" s="7">
        <v>44370</v>
      </c>
      <c r="D206" s="1">
        <v>511</v>
      </c>
      <c r="E206" s="1">
        <v>29.7</v>
      </c>
      <c r="F206" s="1">
        <v>5</v>
      </c>
      <c r="G206" s="1">
        <v>0</v>
      </c>
      <c r="H206" s="1">
        <v>100</v>
      </c>
      <c r="I206" s="1">
        <v>3</v>
      </c>
      <c r="J206" s="1">
        <v>97.09</v>
      </c>
      <c r="K206" s="1">
        <v>7</v>
      </c>
      <c r="L206" s="1">
        <v>22</v>
      </c>
      <c r="M206" s="1">
        <v>40.212000000000003</v>
      </c>
      <c r="N206" s="1">
        <v>103</v>
      </c>
      <c r="O206" s="1">
        <v>1876</v>
      </c>
      <c r="P206" s="1">
        <v>79.087599999999995</v>
      </c>
      <c r="Q206" s="1">
        <v>75.438000000000002</v>
      </c>
      <c r="R206" s="5">
        <v>1.7476851851851852E-3</v>
      </c>
      <c r="S206" s="1">
        <v>20259</v>
      </c>
      <c r="T206" s="6">
        <v>6.72</v>
      </c>
      <c r="U206" s="1" t="str">
        <f>IF(ISNUMBER(SEARCH("Vande Bharat",Table1[[#This Row],[Video title]])),"Vande Bharat","Other")</f>
        <v>Other</v>
      </c>
    </row>
    <row r="207" spans="1:21" x14ac:dyDescent="0.3">
      <c r="A207" s="4" t="s">
        <v>434</v>
      </c>
      <c r="B207" s="1" t="s">
        <v>435</v>
      </c>
      <c r="C207" s="7">
        <v>45357</v>
      </c>
      <c r="D207" s="1">
        <v>668</v>
      </c>
      <c r="E207" s="1">
        <v>20.239999999999998</v>
      </c>
      <c r="F207" s="1">
        <v>7</v>
      </c>
      <c r="G207" s="1">
        <v>1</v>
      </c>
      <c r="H207" s="1">
        <v>35</v>
      </c>
      <c r="I207" s="1">
        <v>1</v>
      </c>
      <c r="J207" s="1">
        <v>97.22</v>
      </c>
      <c r="K207" s="1">
        <v>14</v>
      </c>
      <c r="L207" s="1">
        <v>7</v>
      </c>
      <c r="M207" s="1">
        <v>40.325000000000003</v>
      </c>
      <c r="N207" s="1">
        <v>117</v>
      </c>
      <c r="O207" s="1">
        <v>1965</v>
      </c>
      <c r="P207" s="1">
        <v>73.787999999999997</v>
      </c>
      <c r="Q207" s="1">
        <v>79.143000000000001</v>
      </c>
      <c r="R207" s="5">
        <v>1.5625000000000001E-3</v>
      </c>
      <c r="S207" s="1">
        <v>22454</v>
      </c>
      <c r="T207" s="6">
        <v>6.94</v>
      </c>
      <c r="U207" s="1" t="str">
        <f>IF(ISNUMBER(SEARCH("Vande Bharat",Table1[[#This Row],[Video title]])),"Vande Bharat","Other")</f>
        <v>Other</v>
      </c>
    </row>
    <row r="208" spans="1:21" x14ac:dyDescent="0.3">
      <c r="A208" s="4" t="s">
        <v>436</v>
      </c>
      <c r="B208" s="1" t="s">
        <v>437</v>
      </c>
      <c r="C208" s="7">
        <v>44609</v>
      </c>
      <c r="D208" s="1">
        <v>268</v>
      </c>
      <c r="E208" s="1">
        <v>29.98</v>
      </c>
      <c r="F208" s="1">
        <v>6</v>
      </c>
      <c r="G208" s="1">
        <v>0</v>
      </c>
      <c r="H208" s="1">
        <v>41</v>
      </c>
      <c r="I208" s="1">
        <v>0</v>
      </c>
      <c r="J208" s="1">
        <v>100</v>
      </c>
      <c r="K208" s="1">
        <v>8</v>
      </c>
      <c r="L208" s="1">
        <v>8</v>
      </c>
      <c r="M208" s="1">
        <v>25.684000000000001</v>
      </c>
      <c r="N208" s="1">
        <v>41</v>
      </c>
      <c r="O208" s="1">
        <v>1683</v>
      </c>
      <c r="P208" s="1">
        <v>37.563899999999997</v>
      </c>
      <c r="Q208" s="1">
        <v>43.225999999999999</v>
      </c>
      <c r="R208" s="5">
        <v>9.2592592592592596E-4</v>
      </c>
      <c r="S208" s="1">
        <v>14931</v>
      </c>
      <c r="T208" s="6">
        <v>6.3</v>
      </c>
      <c r="U208" s="1" t="str">
        <f>IF(ISNUMBER(SEARCH("Vande Bharat",Table1[[#This Row],[Video title]])),"Vande Bharat","Other")</f>
        <v>Other</v>
      </c>
    </row>
    <row r="209" spans="1:21" x14ac:dyDescent="0.3">
      <c r="A209" s="4" t="s">
        <v>438</v>
      </c>
      <c r="B209" s="1" t="s">
        <v>439</v>
      </c>
      <c r="C209" s="7">
        <v>44652</v>
      </c>
      <c r="D209" s="1">
        <v>86</v>
      </c>
      <c r="E209" s="1">
        <v>43.34</v>
      </c>
      <c r="F209" s="1">
        <v>4</v>
      </c>
      <c r="G209" s="1">
        <v>1</v>
      </c>
      <c r="H209" s="1">
        <v>48</v>
      </c>
      <c r="I209" s="1">
        <v>0</v>
      </c>
      <c r="J209" s="1">
        <v>100</v>
      </c>
      <c r="K209" s="1">
        <v>1</v>
      </c>
      <c r="L209" s="1">
        <v>16</v>
      </c>
      <c r="M209" s="1">
        <v>19.488</v>
      </c>
      <c r="N209" s="1">
        <v>18</v>
      </c>
      <c r="O209" s="1">
        <v>1640</v>
      </c>
      <c r="P209" s="1">
        <v>16.9785</v>
      </c>
      <c r="Q209" s="1">
        <v>31.96</v>
      </c>
      <c r="R209" s="5">
        <v>4.2824074074074075E-4</v>
      </c>
      <c r="S209" s="1">
        <v>18195</v>
      </c>
      <c r="T209" s="6">
        <v>4.13</v>
      </c>
      <c r="U209" s="1" t="str">
        <f>IF(ISNUMBER(SEARCH("Vande Bharat",Table1[[#This Row],[Video title]])),"Vande Bharat","Other")</f>
        <v>Other</v>
      </c>
    </row>
    <row r="210" spans="1:21" x14ac:dyDescent="0.3">
      <c r="A210" s="4" t="s">
        <v>284</v>
      </c>
      <c r="B210" s="1" t="s">
        <v>285</v>
      </c>
      <c r="C210" s="7">
        <v>45368</v>
      </c>
      <c r="D210" s="1">
        <v>72</v>
      </c>
      <c r="E210" s="1">
        <v>47.42</v>
      </c>
      <c r="F210" s="1">
        <v>3</v>
      </c>
      <c r="G210" s="1">
        <v>1</v>
      </c>
      <c r="H210" s="1">
        <v>52</v>
      </c>
      <c r="I210" s="1">
        <v>2</v>
      </c>
      <c r="J210" s="1">
        <v>96.3</v>
      </c>
      <c r="K210" s="1">
        <v>1</v>
      </c>
      <c r="L210" s="1">
        <v>5</v>
      </c>
      <c r="M210" s="1">
        <v>21.456</v>
      </c>
      <c r="N210" s="1">
        <v>151</v>
      </c>
      <c r="O210" s="1">
        <v>2522</v>
      </c>
      <c r="P210" s="1">
        <v>23.921199999999999</v>
      </c>
      <c r="Q210" s="1">
        <v>54.113999999999997</v>
      </c>
      <c r="R210" s="5">
        <v>3.9351851851851852E-4</v>
      </c>
      <c r="S210" s="1">
        <v>22891</v>
      </c>
      <c r="T210" s="6">
        <v>9.32</v>
      </c>
      <c r="U210" s="1" t="str">
        <f>IF(ISNUMBER(SEARCH("Vande Bharat",Table1[[#This Row],[Video title]])),"Vande Bharat","Other")</f>
        <v>Vande Bharat</v>
      </c>
    </row>
    <row r="211" spans="1:21" x14ac:dyDescent="0.3">
      <c r="A211" s="4" t="s">
        <v>442</v>
      </c>
      <c r="B211" s="1" t="s">
        <v>443</v>
      </c>
      <c r="C211" s="7">
        <v>45546</v>
      </c>
      <c r="D211" s="1">
        <v>2830</v>
      </c>
      <c r="E211" s="1">
        <v>8.69</v>
      </c>
      <c r="F211" s="1">
        <v>4</v>
      </c>
      <c r="G211" s="1">
        <v>0</v>
      </c>
      <c r="H211" s="1">
        <v>31</v>
      </c>
      <c r="I211" s="1">
        <v>1</v>
      </c>
      <c r="J211" s="1">
        <v>96.88</v>
      </c>
      <c r="K211" s="1">
        <v>11</v>
      </c>
      <c r="L211" s="1">
        <v>12</v>
      </c>
      <c r="M211" s="1">
        <v>74.683000000000007</v>
      </c>
      <c r="N211" s="1">
        <v>123</v>
      </c>
      <c r="O211" s="1">
        <v>1860</v>
      </c>
      <c r="P211" s="1">
        <v>127.08839999999999</v>
      </c>
      <c r="Q211" s="1">
        <v>138.90899999999999</v>
      </c>
      <c r="R211" s="5">
        <v>2.8356481481481483E-3</v>
      </c>
      <c r="S211" s="1">
        <v>25051</v>
      </c>
      <c r="T211" s="6">
        <v>5.96</v>
      </c>
      <c r="U211" s="1" t="str">
        <f>IF(ISNUMBER(SEARCH("Vande Bharat",Table1[[#This Row],[Video title]])),"Vande Bharat","Other")</f>
        <v>Other</v>
      </c>
    </row>
    <row r="212" spans="1:21" x14ac:dyDescent="0.3">
      <c r="A212" s="4" t="s">
        <v>444</v>
      </c>
      <c r="B212" s="1" t="s">
        <v>445</v>
      </c>
      <c r="C212" s="7">
        <v>45305</v>
      </c>
      <c r="D212" s="1">
        <v>255</v>
      </c>
      <c r="E212" s="1">
        <v>29.22</v>
      </c>
      <c r="F212" s="1">
        <v>4</v>
      </c>
      <c r="G212" s="1">
        <v>0</v>
      </c>
      <c r="H212" s="1">
        <v>48</v>
      </c>
      <c r="I212" s="1">
        <v>1</v>
      </c>
      <c r="J212" s="1">
        <v>97.96</v>
      </c>
      <c r="K212" s="1">
        <v>5</v>
      </c>
      <c r="L212" s="1">
        <v>4</v>
      </c>
      <c r="M212" s="1">
        <v>13.946999999999999</v>
      </c>
      <c r="N212" s="1">
        <v>29</v>
      </c>
      <c r="O212" s="1">
        <v>1993</v>
      </c>
      <c r="P212" s="1">
        <v>41.246499999999997</v>
      </c>
      <c r="Q212" s="1">
        <v>27.795000000000002</v>
      </c>
      <c r="R212" s="5">
        <v>8.564814814814815E-4</v>
      </c>
      <c r="S212" s="1">
        <v>17862</v>
      </c>
      <c r="T212" s="6">
        <v>9.3000000000000007</v>
      </c>
      <c r="U212" s="1" t="str">
        <f>IF(ISNUMBER(SEARCH("Vande Bharat",Table1[[#This Row],[Video title]])),"Vande Bharat","Other")</f>
        <v>Other</v>
      </c>
    </row>
    <row r="213" spans="1:21" x14ac:dyDescent="0.3">
      <c r="A213" s="4" t="s">
        <v>446</v>
      </c>
      <c r="B213" s="1" t="s">
        <v>447</v>
      </c>
      <c r="C213" s="7">
        <v>44539</v>
      </c>
      <c r="D213" s="1">
        <v>182</v>
      </c>
      <c r="E213" s="1">
        <v>30.32</v>
      </c>
      <c r="F213" s="1">
        <v>3</v>
      </c>
      <c r="G213" s="1">
        <v>3</v>
      </c>
      <c r="H213" s="1">
        <v>45</v>
      </c>
      <c r="I213" s="1">
        <v>3</v>
      </c>
      <c r="J213" s="1">
        <v>93.75</v>
      </c>
      <c r="K213" s="1">
        <v>3</v>
      </c>
      <c r="L213" s="1">
        <v>9</v>
      </c>
      <c r="M213" s="1">
        <v>21.675999999999998</v>
      </c>
      <c r="N213" s="1">
        <v>22</v>
      </c>
      <c r="O213" s="1">
        <v>1690</v>
      </c>
      <c r="P213" s="1">
        <v>25.901</v>
      </c>
      <c r="Q213" s="1">
        <v>36.631999999999998</v>
      </c>
      <c r="R213" s="5">
        <v>6.3657407407407413E-4</v>
      </c>
      <c r="S213" s="1">
        <v>12004</v>
      </c>
      <c r="T213" s="6">
        <v>10.64</v>
      </c>
      <c r="U213" s="1" t="str">
        <f>IF(ISNUMBER(SEARCH("Vande Bharat",Table1[[#This Row],[Video title]])),"Vande Bharat","Other")</f>
        <v>Other</v>
      </c>
    </row>
    <row r="214" spans="1:21" x14ac:dyDescent="0.3">
      <c r="A214" s="4" t="s">
        <v>448</v>
      </c>
      <c r="B214" s="1" t="s">
        <v>449</v>
      </c>
      <c r="C214" s="7">
        <v>45707</v>
      </c>
      <c r="D214" s="1">
        <v>10</v>
      </c>
      <c r="E214" s="1">
        <v>122.45</v>
      </c>
      <c r="F214" s="1">
        <v>2</v>
      </c>
      <c r="G214" s="1">
        <v>0</v>
      </c>
      <c r="H214" s="1">
        <v>26</v>
      </c>
      <c r="I214" s="1">
        <v>1</v>
      </c>
      <c r="J214" s="1">
        <v>96.3</v>
      </c>
      <c r="K214" s="1">
        <v>2</v>
      </c>
      <c r="L214" s="1">
        <v>1</v>
      </c>
      <c r="M214" s="1">
        <v>0.89100000000000001</v>
      </c>
      <c r="N214" s="1">
        <v>47</v>
      </c>
      <c r="O214" s="1">
        <v>1673</v>
      </c>
      <c r="P214" s="1">
        <v>5.2037000000000004</v>
      </c>
      <c r="Q214" s="1">
        <v>1.3520000000000001</v>
      </c>
      <c r="R214" s="5">
        <v>1.3888888888888889E-4</v>
      </c>
      <c r="S214" s="1">
        <v>2706</v>
      </c>
      <c r="T214" s="6">
        <v>2.62</v>
      </c>
      <c r="U214" s="1" t="str">
        <f>IF(ISNUMBER(SEARCH("Vande Bharat",Table1[[#This Row],[Video title]])),"Vande Bharat","Other")</f>
        <v>Other</v>
      </c>
    </row>
    <row r="215" spans="1:21" x14ac:dyDescent="0.3">
      <c r="A215" s="4" t="s">
        <v>450</v>
      </c>
      <c r="B215" s="1" t="s">
        <v>451</v>
      </c>
      <c r="C215" s="7">
        <v>44396</v>
      </c>
      <c r="D215" s="1">
        <v>131</v>
      </c>
      <c r="E215" s="1">
        <v>31.83</v>
      </c>
      <c r="F215" s="1">
        <v>4</v>
      </c>
      <c r="G215" s="1">
        <v>1</v>
      </c>
      <c r="H215" s="1">
        <v>36</v>
      </c>
      <c r="I215" s="1">
        <v>2</v>
      </c>
      <c r="J215" s="1">
        <v>94.74</v>
      </c>
      <c r="K215" s="1">
        <v>5</v>
      </c>
      <c r="L215" s="1">
        <v>11</v>
      </c>
      <c r="M215" s="1">
        <v>17.087</v>
      </c>
      <c r="N215" s="1">
        <v>12</v>
      </c>
      <c r="O215" s="1">
        <v>1645</v>
      </c>
      <c r="P215" s="1">
        <v>19.054099999999998</v>
      </c>
      <c r="Q215" s="1">
        <v>28.024000000000001</v>
      </c>
      <c r="R215" s="5">
        <v>4.7453703703703704E-4</v>
      </c>
      <c r="S215" s="1">
        <v>11176</v>
      </c>
      <c r="T215" s="6">
        <v>10.94</v>
      </c>
      <c r="U215" s="1" t="str">
        <f>IF(ISNUMBER(SEARCH("Vande Bharat",Table1[[#This Row],[Video title]])),"Vande Bharat","Other")</f>
        <v>Other</v>
      </c>
    </row>
    <row r="216" spans="1:21" x14ac:dyDescent="0.3">
      <c r="A216" s="4" t="s">
        <v>452</v>
      </c>
      <c r="B216" s="1" t="s">
        <v>453</v>
      </c>
      <c r="C216" s="7">
        <v>44302</v>
      </c>
      <c r="D216" s="1">
        <v>15</v>
      </c>
      <c r="E216" s="1">
        <v>75.260000000000005</v>
      </c>
      <c r="F216" s="1">
        <v>1</v>
      </c>
      <c r="G216" s="1">
        <v>0</v>
      </c>
      <c r="H216" s="1">
        <v>94</v>
      </c>
      <c r="I216" s="1">
        <v>3</v>
      </c>
      <c r="J216" s="1">
        <v>96.91</v>
      </c>
      <c r="K216" s="1">
        <v>35</v>
      </c>
      <c r="L216" s="1">
        <v>10</v>
      </c>
      <c r="M216" s="1">
        <v>0.26300000000000001</v>
      </c>
      <c r="N216" s="1">
        <v>21</v>
      </c>
      <c r="O216" s="1">
        <v>1869</v>
      </c>
      <c r="P216" s="1">
        <v>5.5244999999999997</v>
      </c>
      <c r="Q216" s="1">
        <v>0.46100000000000002</v>
      </c>
      <c r="R216" s="5">
        <v>1.273148148148148E-4</v>
      </c>
      <c r="S216" s="1">
        <v>19153</v>
      </c>
      <c r="T216" s="6">
        <v>3.8</v>
      </c>
      <c r="U216" s="1" t="str">
        <f>IF(ISNUMBER(SEARCH("Vande Bharat",Table1[[#This Row],[Video title]])),"Vande Bharat","Other")</f>
        <v>Other</v>
      </c>
    </row>
    <row r="217" spans="1:21" x14ac:dyDescent="0.3">
      <c r="A217" s="4" t="s">
        <v>39</v>
      </c>
      <c r="B217" s="1" t="s">
        <v>40</v>
      </c>
      <c r="C217" s="7">
        <v>45363</v>
      </c>
      <c r="D217" s="1">
        <v>2523</v>
      </c>
      <c r="E217" s="1">
        <v>8.93</v>
      </c>
      <c r="F217" s="1">
        <v>61</v>
      </c>
      <c r="G217" s="1">
        <v>4</v>
      </c>
      <c r="H217" s="1">
        <v>335</v>
      </c>
      <c r="I217" s="1">
        <v>13</v>
      </c>
      <c r="J217" s="1">
        <v>96.26</v>
      </c>
      <c r="K217" s="1">
        <v>101</v>
      </c>
      <c r="L217" s="1">
        <v>68</v>
      </c>
      <c r="M217" s="1">
        <v>58.180999999999997</v>
      </c>
      <c r="N217" s="1">
        <v>1793</v>
      </c>
      <c r="O217" s="1">
        <v>26952</v>
      </c>
      <c r="P217" s="1">
        <v>1686.7859000000001</v>
      </c>
      <c r="Q217" s="1">
        <v>1568.011</v>
      </c>
      <c r="R217" s="5">
        <v>2.6041666666666665E-3</v>
      </c>
      <c r="S217" s="1">
        <v>252323</v>
      </c>
      <c r="T217" s="6">
        <v>8.2200000000000006</v>
      </c>
      <c r="U217" s="1" t="str">
        <f>IF(ISNUMBER(SEARCH("Vande Bharat",Table1[[#This Row],[Video title]])),"Vande Bharat","Other")</f>
        <v>Vande Bharat</v>
      </c>
    </row>
    <row r="218" spans="1:21" x14ac:dyDescent="0.3">
      <c r="A218" s="4" t="s">
        <v>456</v>
      </c>
      <c r="B218" s="1" t="s">
        <v>457</v>
      </c>
      <c r="C218" s="7">
        <v>46214</v>
      </c>
      <c r="D218" s="1">
        <v>1211</v>
      </c>
      <c r="E218" s="1">
        <v>11.26</v>
      </c>
      <c r="F218" s="1">
        <v>5</v>
      </c>
      <c r="G218" s="1">
        <v>0</v>
      </c>
      <c r="H218" s="1">
        <v>25</v>
      </c>
      <c r="I218" s="1">
        <v>0</v>
      </c>
      <c r="J218" s="1">
        <v>100</v>
      </c>
      <c r="K218" s="1">
        <v>1</v>
      </c>
      <c r="L218" s="1">
        <v>3</v>
      </c>
      <c r="M218" s="1">
        <v>23.396999999999998</v>
      </c>
      <c r="N218" s="1">
        <v>79</v>
      </c>
      <c r="O218" s="1">
        <v>1873</v>
      </c>
      <c r="P218" s="1">
        <v>70.916799999999995</v>
      </c>
      <c r="Q218" s="1">
        <v>43.63</v>
      </c>
      <c r="R218" s="5">
        <v>1.5740740740740741E-3</v>
      </c>
      <c r="S218" s="1">
        <v>21480</v>
      </c>
      <c r="T218" s="6">
        <v>7.82</v>
      </c>
      <c r="U218" s="1" t="str">
        <f>IF(ISNUMBER(SEARCH("Vande Bharat",Table1[[#This Row],[Video title]])),"Vande Bharat","Other")</f>
        <v>Other</v>
      </c>
    </row>
    <row r="219" spans="1:21" x14ac:dyDescent="0.3">
      <c r="A219" s="4" t="s">
        <v>458</v>
      </c>
      <c r="B219" s="1" t="s">
        <v>459</v>
      </c>
      <c r="C219" s="7">
        <v>44167</v>
      </c>
      <c r="D219" s="1">
        <v>847</v>
      </c>
      <c r="E219" s="1">
        <v>17.53</v>
      </c>
      <c r="F219" s="1">
        <v>9</v>
      </c>
      <c r="G219" s="1">
        <v>0</v>
      </c>
      <c r="H219" s="1">
        <v>42</v>
      </c>
      <c r="I219" s="1">
        <v>2</v>
      </c>
      <c r="J219" s="1">
        <v>95.45</v>
      </c>
      <c r="K219" s="1">
        <v>4</v>
      </c>
      <c r="L219" s="1">
        <v>4</v>
      </c>
      <c r="M219" s="1">
        <v>13.012</v>
      </c>
      <c r="N219" s="1">
        <v>11</v>
      </c>
      <c r="O219" s="1">
        <v>1716</v>
      </c>
      <c r="P219" s="1">
        <v>70.715999999999994</v>
      </c>
      <c r="Q219" s="1">
        <v>22.327999999999999</v>
      </c>
      <c r="R219" s="5">
        <v>1.712962962962963E-3</v>
      </c>
      <c r="S219" s="1">
        <v>19128</v>
      </c>
      <c r="T219" s="6">
        <v>6.96</v>
      </c>
      <c r="U219" s="1" t="str">
        <f>IF(ISNUMBER(SEARCH("Vande Bharat",Table1[[#This Row],[Video title]])),"Vande Bharat","Other")</f>
        <v>Other</v>
      </c>
    </row>
    <row r="220" spans="1:21" x14ac:dyDescent="0.3">
      <c r="A220" s="4" t="s">
        <v>460</v>
      </c>
      <c r="B220" s="1" t="s">
        <v>461</v>
      </c>
      <c r="C220" s="7">
        <v>44656</v>
      </c>
      <c r="D220" s="1">
        <v>2251</v>
      </c>
      <c r="E220" s="1">
        <v>7.47</v>
      </c>
      <c r="F220" s="1">
        <v>5</v>
      </c>
      <c r="G220" s="1">
        <v>2</v>
      </c>
      <c r="H220" s="1">
        <v>51</v>
      </c>
      <c r="I220" s="1">
        <v>0</v>
      </c>
      <c r="J220" s="1">
        <v>100</v>
      </c>
      <c r="K220" s="1">
        <v>3</v>
      </c>
      <c r="L220" s="1">
        <v>7</v>
      </c>
      <c r="M220" s="1">
        <v>54.920999999999999</v>
      </c>
      <c r="N220" s="1">
        <v>19</v>
      </c>
      <c r="O220" s="1">
        <v>1797</v>
      </c>
      <c r="P220" s="1">
        <v>83.909899999999993</v>
      </c>
      <c r="Q220" s="1">
        <v>98.638000000000005</v>
      </c>
      <c r="R220" s="5">
        <v>1.9444444444444444E-3</v>
      </c>
      <c r="S220" s="1">
        <v>15533</v>
      </c>
      <c r="T220" s="6">
        <v>7.71</v>
      </c>
      <c r="U220" s="1" t="str">
        <f>IF(ISNUMBER(SEARCH("Vande Bharat",Table1[[#This Row],[Video title]])),"Vande Bharat","Other")</f>
        <v>Other</v>
      </c>
    </row>
    <row r="221" spans="1:21" x14ac:dyDescent="0.3">
      <c r="A221" s="4" t="s">
        <v>462</v>
      </c>
      <c r="B221" s="1" t="s">
        <v>463</v>
      </c>
      <c r="C221" s="7">
        <v>44323</v>
      </c>
      <c r="D221" s="1">
        <v>321</v>
      </c>
      <c r="E221" s="1">
        <v>26</v>
      </c>
      <c r="F221" s="1">
        <v>8</v>
      </c>
      <c r="G221" s="1">
        <v>1</v>
      </c>
      <c r="H221" s="1">
        <v>57</v>
      </c>
      <c r="I221" s="1">
        <v>2</v>
      </c>
      <c r="J221" s="1">
        <v>96.61</v>
      </c>
      <c r="K221" s="1">
        <v>7</v>
      </c>
      <c r="L221" s="1">
        <v>18</v>
      </c>
      <c r="M221" s="1">
        <v>12.46</v>
      </c>
      <c r="N221" s="1">
        <v>26</v>
      </c>
      <c r="O221" s="1">
        <v>1610</v>
      </c>
      <c r="P221" s="1">
        <v>37.323799999999999</v>
      </c>
      <c r="Q221" s="1">
        <v>20.036000000000001</v>
      </c>
      <c r="R221" s="5">
        <v>9.6064814814814819E-4</v>
      </c>
      <c r="S221" s="1">
        <v>15783</v>
      </c>
      <c r="T221" s="6">
        <v>7.82</v>
      </c>
      <c r="U221" s="1" t="str">
        <f>IF(ISNUMBER(SEARCH("Vande Bharat",Table1[[#This Row],[Video title]])),"Vande Bharat","Other")</f>
        <v>Other</v>
      </c>
    </row>
    <row r="222" spans="1:21" x14ac:dyDescent="0.3">
      <c r="A222" s="4" t="s">
        <v>464</v>
      </c>
      <c r="B222" s="1" t="s">
        <v>465</v>
      </c>
      <c r="C222" s="7">
        <v>44259</v>
      </c>
      <c r="D222" s="1">
        <v>383</v>
      </c>
      <c r="E222" s="1">
        <v>34.130000000000003</v>
      </c>
      <c r="F222" s="1">
        <v>12</v>
      </c>
      <c r="G222" s="1">
        <v>1</v>
      </c>
      <c r="H222" s="1">
        <v>86</v>
      </c>
      <c r="I222" s="1">
        <v>0</v>
      </c>
      <c r="J222" s="1">
        <v>100</v>
      </c>
      <c r="K222" s="1">
        <v>2</v>
      </c>
      <c r="L222" s="1">
        <v>30</v>
      </c>
      <c r="M222" s="1">
        <v>0.93200000000000005</v>
      </c>
      <c r="N222" s="1">
        <v>18</v>
      </c>
      <c r="O222" s="1">
        <v>1718</v>
      </c>
      <c r="P222" s="1">
        <v>62.372700000000002</v>
      </c>
      <c r="Q222" s="1">
        <v>1.6020000000000001</v>
      </c>
      <c r="R222" s="5">
        <v>1.5046296296296296E-3</v>
      </c>
      <c r="S222" s="1">
        <v>21338</v>
      </c>
      <c r="T222" s="6">
        <v>6.07</v>
      </c>
      <c r="U222" s="1" t="str">
        <f>IF(ISNUMBER(SEARCH("Vande Bharat",Table1[[#This Row],[Video title]])),"Vande Bharat","Other")</f>
        <v>Other</v>
      </c>
    </row>
    <row r="223" spans="1:21" x14ac:dyDescent="0.3">
      <c r="A223" s="4" t="s">
        <v>466</v>
      </c>
      <c r="B223" s="1" t="s">
        <v>467</v>
      </c>
      <c r="C223" s="7">
        <v>44845</v>
      </c>
      <c r="D223" s="1">
        <v>2914</v>
      </c>
      <c r="E223" s="1">
        <v>6.05</v>
      </c>
      <c r="F223" s="1">
        <v>4</v>
      </c>
      <c r="G223" s="1">
        <v>2</v>
      </c>
      <c r="H223" s="1">
        <v>42</v>
      </c>
      <c r="I223" s="1">
        <v>1</v>
      </c>
      <c r="J223" s="1">
        <v>97.67</v>
      </c>
      <c r="K223" s="1">
        <v>3</v>
      </c>
      <c r="L223" s="1">
        <v>11</v>
      </c>
      <c r="M223" s="1">
        <v>33.789000000000001</v>
      </c>
      <c r="N223" s="1">
        <v>42</v>
      </c>
      <c r="O223" s="1">
        <v>1923</v>
      </c>
      <c r="P223" s="1">
        <v>94.234800000000007</v>
      </c>
      <c r="Q223" s="1">
        <v>64.977999999999994</v>
      </c>
      <c r="R223" s="5">
        <v>2.0370370370370369E-3</v>
      </c>
      <c r="S223" s="1">
        <v>18234</v>
      </c>
      <c r="T223" s="6">
        <v>8.7899999999999991</v>
      </c>
      <c r="U223" s="1" t="str">
        <f>IF(ISNUMBER(SEARCH("Vande Bharat",Table1[[#This Row],[Video title]])),"Vande Bharat","Other")</f>
        <v>Other</v>
      </c>
    </row>
    <row r="224" spans="1:21" x14ac:dyDescent="0.3">
      <c r="A224" s="4" t="s">
        <v>602</v>
      </c>
      <c r="B224" s="1" t="s">
        <v>603</v>
      </c>
      <c r="C224" s="7">
        <v>45360</v>
      </c>
      <c r="D224" s="1">
        <v>71</v>
      </c>
      <c r="E224" s="1">
        <v>49.97</v>
      </c>
      <c r="F224" s="1">
        <v>4</v>
      </c>
      <c r="G224" s="1">
        <v>1</v>
      </c>
      <c r="H224" s="1">
        <v>28</v>
      </c>
      <c r="I224" s="1">
        <v>0</v>
      </c>
      <c r="J224" s="1">
        <v>100</v>
      </c>
      <c r="K224" s="1">
        <v>2</v>
      </c>
      <c r="L224" s="1">
        <v>14</v>
      </c>
      <c r="M224" s="1">
        <v>16.279</v>
      </c>
      <c r="N224" s="1">
        <v>57</v>
      </c>
      <c r="O224" s="1">
        <v>1151</v>
      </c>
      <c r="P224" s="1">
        <v>11.3429</v>
      </c>
      <c r="Q224" s="1">
        <v>18.736999999999998</v>
      </c>
      <c r="R224" s="5">
        <v>4.0509259259259258E-4</v>
      </c>
      <c r="S224" s="1">
        <v>12183</v>
      </c>
      <c r="T224" s="6">
        <v>7.39</v>
      </c>
      <c r="U224" s="1" t="str">
        <f>IF(ISNUMBER(SEARCH("Vande Bharat",Table1[[#This Row],[Video title]])),"Vande Bharat","Other")</f>
        <v>Vande Bharat</v>
      </c>
    </row>
    <row r="225" spans="1:21" x14ac:dyDescent="0.3">
      <c r="A225" s="4" t="s">
        <v>470</v>
      </c>
      <c r="B225" s="1" t="s">
        <v>471</v>
      </c>
      <c r="C225" s="7">
        <v>46124</v>
      </c>
      <c r="D225" s="1">
        <v>43</v>
      </c>
      <c r="E225" s="1">
        <v>58.4</v>
      </c>
      <c r="F225" s="1">
        <v>2</v>
      </c>
      <c r="G225" s="1">
        <v>0</v>
      </c>
      <c r="H225" s="1">
        <v>67</v>
      </c>
      <c r="I225" s="1">
        <v>1</v>
      </c>
      <c r="J225" s="1">
        <v>98.53</v>
      </c>
      <c r="K225" s="1">
        <v>7</v>
      </c>
      <c r="L225" s="1">
        <v>0</v>
      </c>
      <c r="M225" s="1">
        <v>1.0069999999999999</v>
      </c>
      <c r="N225" s="1">
        <v>71</v>
      </c>
      <c r="O225" s="1">
        <v>2497</v>
      </c>
      <c r="P225" s="1">
        <v>11.4345</v>
      </c>
      <c r="Q225" s="1">
        <v>1.6120000000000001</v>
      </c>
      <c r="R225" s="5">
        <v>2.8935185185185184E-4</v>
      </c>
      <c r="S225" s="1">
        <v>7450</v>
      </c>
      <c r="T225" s="6">
        <v>7.07</v>
      </c>
      <c r="U225" s="1" t="str">
        <f>IF(ISNUMBER(SEARCH("Vande Bharat",Table1[[#This Row],[Video title]])),"Vande Bharat","Other")</f>
        <v>Other</v>
      </c>
    </row>
    <row r="226" spans="1:21" x14ac:dyDescent="0.3">
      <c r="A226" s="4" t="s">
        <v>472</v>
      </c>
      <c r="B226" s="1" t="s">
        <v>473</v>
      </c>
      <c r="C226" s="7">
        <v>45498</v>
      </c>
      <c r="D226" s="1">
        <v>104</v>
      </c>
      <c r="E226" s="1">
        <v>40.619999999999997</v>
      </c>
      <c r="F226" s="1">
        <v>2</v>
      </c>
      <c r="G226" s="1">
        <v>1</v>
      </c>
      <c r="H226" s="1">
        <v>17</v>
      </c>
      <c r="I226" s="1">
        <v>0</v>
      </c>
      <c r="J226" s="1">
        <v>100</v>
      </c>
      <c r="K226" s="1">
        <v>4</v>
      </c>
      <c r="L226" s="1">
        <v>1</v>
      </c>
      <c r="M226" s="1">
        <v>13.003</v>
      </c>
      <c r="N226" s="1">
        <v>22</v>
      </c>
      <c r="O226" s="1">
        <v>1492</v>
      </c>
      <c r="P226" s="1">
        <v>17.5092</v>
      </c>
      <c r="Q226" s="1">
        <v>19.393000000000001</v>
      </c>
      <c r="R226" s="5">
        <v>4.861111111111111E-4</v>
      </c>
      <c r="S226" s="1">
        <v>20472</v>
      </c>
      <c r="T226" s="6">
        <v>6.4</v>
      </c>
      <c r="U226" s="1" t="str">
        <f>IF(ISNUMBER(SEARCH("Vande Bharat",Table1[[#This Row],[Video title]])),"Vande Bharat","Other")</f>
        <v>Other</v>
      </c>
    </row>
    <row r="227" spans="1:21" x14ac:dyDescent="0.3">
      <c r="A227" s="4" t="s">
        <v>474</v>
      </c>
      <c r="B227" s="1" t="s">
        <v>475</v>
      </c>
      <c r="C227" s="7">
        <v>44254</v>
      </c>
      <c r="D227" s="1">
        <v>441</v>
      </c>
      <c r="E227" s="1">
        <v>30.79</v>
      </c>
      <c r="F227" s="1">
        <v>9</v>
      </c>
      <c r="G227" s="1">
        <v>2</v>
      </c>
      <c r="H227" s="1">
        <v>62</v>
      </c>
      <c r="I227" s="1">
        <v>2</v>
      </c>
      <c r="J227" s="1">
        <v>96.88</v>
      </c>
      <c r="K227" s="1">
        <v>2</v>
      </c>
      <c r="L227" s="1">
        <v>27</v>
      </c>
      <c r="M227" s="1">
        <v>1.133</v>
      </c>
      <c r="N227" s="1">
        <v>23</v>
      </c>
      <c r="O227" s="1">
        <v>1684</v>
      </c>
      <c r="P227" s="1">
        <v>63.510899999999999</v>
      </c>
      <c r="Q227" s="1">
        <v>1.9079999999999999</v>
      </c>
      <c r="R227" s="5">
        <v>1.5625000000000001E-3</v>
      </c>
      <c r="S227" s="1">
        <v>22707</v>
      </c>
      <c r="T227" s="6">
        <v>5.53</v>
      </c>
      <c r="U227" s="1" t="str">
        <f>IF(ISNUMBER(SEARCH("Vande Bharat",Table1[[#This Row],[Video title]])),"Vande Bharat","Other")</f>
        <v>Other</v>
      </c>
    </row>
    <row r="228" spans="1:21" x14ac:dyDescent="0.3">
      <c r="A228" s="4" t="s">
        <v>476</v>
      </c>
      <c r="B228" s="1" t="s">
        <v>477</v>
      </c>
      <c r="C228" s="7">
        <v>44329</v>
      </c>
      <c r="D228" s="1">
        <v>113</v>
      </c>
      <c r="E228" s="1">
        <v>36.69</v>
      </c>
      <c r="F228" s="1">
        <v>4</v>
      </c>
      <c r="G228" s="1">
        <v>0</v>
      </c>
      <c r="H228" s="1">
        <v>46</v>
      </c>
      <c r="I228" s="1">
        <v>3</v>
      </c>
      <c r="J228" s="1">
        <v>93.88</v>
      </c>
      <c r="K228" s="1">
        <v>3</v>
      </c>
      <c r="L228" s="1">
        <v>10</v>
      </c>
      <c r="M228" s="1">
        <v>13.324</v>
      </c>
      <c r="N228" s="1">
        <v>25</v>
      </c>
      <c r="O228" s="1">
        <v>1483</v>
      </c>
      <c r="P228" s="1">
        <v>17.078700000000001</v>
      </c>
      <c r="Q228" s="1">
        <v>19.759</v>
      </c>
      <c r="R228" s="5">
        <v>4.7453703703703704E-4</v>
      </c>
      <c r="S228" s="1">
        <v>22978</v>
      </c>
      <c r="T228" s="6">
        <v>5.14</v>
      </c>
      <c r="U228" s="1" t="str">
        <f>IF(ISNUMBER(SEARCH("Vande Bharat",Table1[[#This Row],[Video title]])),"Vande Bharat","Other")</f>
        <v>Other</v>
      </c>
    </row>
    <row r="229" spans="1:21" x14ac:dyDescent="0.3">
      <c r="A229" s="4" t="s">
        <v>478</v>
      </c>
      <c r="B229" s="1" t="s">
        <v>479</v>
      </c>
      <c r="C229" s="7">
        <v>44330</v>
      </c>
      <c r="D229" s="1">
        <v>111</v>
      </c>
      <c r="E229" s="1">
        <v>57.3</v>
      </c>
      <c r="F229" s="1">
        <v>5</v>
      </c>
      <c r="G229" s="1">
        <v>1</v>
      </c>
      <c r="H229" s="1">
        <v>61</v>
      </c>
      <c r="I229" s="1">
        <v>2</v>
      </c>
      <c r="J229" s="1">
        <v>96.83</v>
      </c>
      <c r="K229" s="1">
        <v>6</v>
      </c>
      <c r="L229" s="1">
        <v>17</v>
      </c>
      <c r="M229" s="1">
        <v>14.922000000000001</v>
      </c>
      <c r="N229" s="1">
        <v>28</v>
      </c>
      <c r="O229" s="1">
        <v>1612</v>
      </c>
      <c r="P229" s="1">
        <v>28.4785</v>
      </c>
      <c r="Q229" s="1">
        <v>24.055</v>
      </c>
      <c r="R229" s="5">
        <v>7.291666666666667E-4</v>
      </c>
      <c r="S229" s="1">
        <v>15356</v>
      </c>
      <c r="T229" s="6">
        <v>7.74</v>
      </c>
      <c r="U229" s="1" t="str">
        <f>IF(ISNUMBER(SEARCH("Vande Bharat",Table1[[#This Row],[Video title]])),"Vande Bharat","Other")</f>
        <v>Other</v>
      </c>
    </row>
    <row r="230" spans="1:21" x14ac:dyDescent="0.3">
      <c r="A230" s="4" t="s">
        <v>480</v>
      </c>
      <c r="B230" s="1" t="s">
        <v>481</v>
      </c>
      <c r="C230" s="7">
        <v>46179</v>
      </c>
      <c r="D230" s="1">
        <v>27</v>
      </c>
      <c r="E230" s="1">
        <v>64.64</v>
      </c>
      <c r="F230" s="1">
        <v>1</v>
      </c>
      <c r="G230" s="1">
        <v>0</v>
      </c>
      <c r="H230" s="1">
        <v>40</v>
      </c>
      <c r="I230" s="1">
        <v>0</v>
      </c>
      <c r="J230" s="1">
        <v>100</v>
      </c>
      <c r="K230" s="1">
        <v>0</v>
      </c>
      <c r="L230" s="1">
        <v>0</v>
      </c>
      <c r="M230" s="1">
        <v>1.2010000000000001</v>
      </c>
      <c r="N230" s="1">
        <v>51</v>
      </c>
      <c r="O230" s="1">
        <v>2522</v>
      </c>
      <c r="P230" s="1">
        <v>7.6001000000000003</v>
      </c>
      <c r="Q230" s="1">
        <v>1.893</v>
      </c>
      <c r="R230" s="5">
        <v>1.9675925925925926E-4</v>
      </c>
      <c r="S230" s="1">
        <v>3647</v>
      </c>
      <c r="T230" s="6">
        <v>8.01</v>
      </c>
      <c r="U230" s="1" t="str">
        <f>IF(ISNUMBER(SEARCH("Vande Bharat",Table1[[#This Row],[Video title]])),"Vande Bharat","Other")</f>
        <v>Other</v>
      </c>
    </row>
    <row r="231" spans="1:21" x14ac:dyDescent="0.3">
      <c r="A231" s="4" t="s">
        <v>482</v>
      </c>
      <c r="B231" s="1" t="s">
        <v>483</v>
      </c>
      <c r="C231" s="7">
        <v>44569</v>
      </c>
      <c r="D231" s="1">
        <v>208</v>
      </c>
      <c r="E231" s="1">
        <v>41.42</v>
      </c>
      <c r="F231" s="1">
        <v>7</v>
      </c>
      <c r="G231" s="1">
        <v>0</v>
      </c>
      <c r="H231" s="1">
        <v>67</v>
      </c>
      <c r="I231" s="1">
        <v>4</v>
      </c>
      <c r="J231" s="1">
        <v>94.37</v>
      </c>
      <c r="K231" s="1">
        <v>4</v>
      </c>
      <c r="L231" s="1">
        <v>11</v>
      </c>
      <c r="M231" s="1">
        <v>20.114000000000001</v>
      </c>
      <c r="N231" s="1">
        <v>28</v>
      </c>
      <c r="O231" s="1">
        <v>1564</v>
      </c>
      <c r="P231" s="1">
        <v>37.427399999999999</v>
      </c>
      <c r="Q231" s="1">
        <v>31.459</v>
      </c>
      <c r="R231" s="5">
        <v>9.9537037037037042E-4</v>
      </c>
      <c r="S231" s="1">
        <v>12291</v>
      </c>
      <c r="T231" s="6">
        <v>7.79</v>
      </c>
      <c r="U231" s="1" t="str">
        <f>IF(ISNUMBER(SEARCH("Vande Bharat",Table1[[#This Row],[Video title]])),"Vande Bharat","Other")</f>
        <v>Other</v>
      </c>
    </row>
    <row r="232" spans="1:21" x14ac:dyDescent="0.3">
      <c r="A232" s="4" t="s">
        <v>484</v>
      </c>
      <c r="B232" s="1" t="s">
        <v>485</v>
      </c>
      <c r="C232" s="7">
        <v>44419</v>
      </c>
      <c r="D232" s="1">
        <v>123</v>
      </c>
      <c r="E232" s="1">
        <v>50.93</v>
      </c>
      <c r="F232" s="1">
        <v>3</v>
      </c>
      <c r="G232" s="1">
        <v>0</v>
      </c>
      <c r="H232" s="1">
        <v>77</v>
      </c>
      <c r="I232" s="1">
        <v>3</v>
      </c>
      <c r="J232" s="1">
        <v>96.25</v>
      </c>
      <c r="K232" s="1">
        <v>2</v>
      </c>
      <c r="L232" s="1">
        <v>24</v>
      </c>
      <c r="M232" s="1">
        <v>25.789000000000001</v>
      </c>
      <c r="N232" s="1">
        <v>27</v>
      </c>
      <c r="O232" s="1">
        <v>1589</v>
      </c>
      <c r="P232" s="1">
        <v>27.648199999999999</v>
      </c>
      <c r="Q232" s="1">
        <v>40.978999999999999</v>
      </c>
      <c r="R232" s="5">
        <v>7.1759259259259259E-4</v>
      </c>
      <c r="S232" s="1">
        <v>11764</v>
      </c>
      <c r="T232" s="6">
        <v>9.64</v>
      </c>
      <c r="U232" s="1" t="str">
        <f>IF(ISNUMBER(SEARCH("Vande Bharat",Table1[[#This Row],[Video title]])),"Vande Bharat","Other")</f>
        <v>Other</v>
      </c>
    </row>
    <row r="233" spans="1:21" x14ac:dyDescent="0.3">
      <c r="A233" s="4" t="s">
        <v>486</v>
      </c>
      <c r="B233" s="1" t="s">
        <v>487</v>
      </c>
      <c r="C233" s="7">
        <v>44357</v>
      </c>
      <c r="D233" s="1">
        <v>137</v>
      </c>
      <c r="E233" s="1">
        <v>51.43</v>
      </c>
      <c r="F233" s="1">
        <v>7</v>
      </c>
      <c r="G233" s="1">
        <v>1</v>
      </c>
      <c r="H233" s="1">
        <v>67</v>
      </c>
      <c r="I233" s="1">
        <v>1</v>
      </c>
      <c r="J233" s="1">
        <v>98.53</v>
      </c>
      <c r="K233" s="1">
        <v>6</v>
      </c>
      <c r="L233" s="1">
        <v>11</v>
      </c>
      <c r="M233" s="1">
        <v>22.527000000000001</v>
      </c>
      <c r="N233" s="1">
        <v>32</v>
      </c>
      <c r="O233" s="1">
        <v>1587</v>
      </c>
      <c r="P233" s="1">
        <v>31.062899999999999</v>
      </c>
      <c r="Q233" s="1">
        <v>35.750999999999998</v>
      </c>
      <c r="R233" s="5">
        <v>8.1018518518518516E-4</v>
      </c>
      <c r="S233" s="1">
        <v>16525</v>
      </c>
      <c r="T233" s="6">
        <v>6.68</v>
      </c>
      <c r="U233" s="1" t="str">
        <f>IF(ISNUMBER(SEARCH("Vande Bharat",Table1[[#This Row],[Video title]])),"Vande Bharat","Other")</f>
        <v>Other</v>
      </c>
    </row>
    <row r="234" spans="1:21" x14ac:dyDescent="0.3">
      <c r="A234" s="4" t="s">
        <v>488</v>
      </c>
      <c r="B234" s="1" t="s">
        <v>489</v>
      </c>
      <c r="C234" s="7">
        <v>44251</v>
      </c>
      <c r="D234" s="1">
        <v>1072</v>
      </c>
      <c r="E234" s="1">
        <v>18.48</v>
      </c>
      <c r="F234" s="1">
        <v>13</v>
      </c>
      <c r="G234" s="1">
        <v>0</v>
      </c>
      <c r="H234" s="1">
        <v>63</v>
      </c>
      <c r="I234" s="1">
        <v>2</v>
      </c>
      <c r="J234" s="1">
        <v>96.92</v>
      </c>
      <c r="K234" s="1">
        <v>3</v>
      </c>
      <c r="L234" s="1">
        <v>22</v>
      </c>
      <c r="M234" s="1">
        <v>2.3439999999999999</v>
      </c>
      <c r="N234" s="1">
        <v>17</v>
      </c>
      <c r="O234" s="1">
        <v>1673</v>
      </c>
      <c r="P234" s="1">
        <v>92.063699999999997</v>
      </c>
      <c r="Q234" s="1">
        <v>3.9209999999999998</v>
      </c>
      <c r="R234" s="5">
        <v>2.2916666666666667E-3</v>
      </c>
      <c r="S234" s="1">
        <v>25831</v>
      </c>
      <c r="T234" s="6">
        <v>4.4400000000000004</v>
      </c>
      <c r="U234" s="1" t="str">
        <f>IF(ISNUMBER(SEARCH("Vande Bharat",Table1[[#This Row],[Video title]])),"Vande Bharat","Other")</f>
        <v>Other</v>
      </c>
    </row>
    <row r="235" spans="1:21" x14ac:dyDescent="0.3">
      <c r="A235" s="4" t="s">
        <v>490</v>
      </c>
      <c r="B235" s="1" t="s">
        <v>491</v>
      </c>
      <c r="C235" s="7">
        <v>44373</v>
      </c>
      <c r="D235" s="1">
        <v>318</v>
      </c>
      <c r="E235" s="1">
        <v>28.12</v>
      </c>
      <c r="F235" s="1">
        <v>4</v>
      </c>
      <c r="G235" s="1">
        <v>0</v>
      </c>
      <c r="H235" s="1">
        <v>65</v>
      </c>
      <c r="I235" s="1">
        <v>3</v>
      </c>
      <c r="J235" s="1">
        <v>95.59</v>
      </c>
      <c r="K235" s="1">
        <v>4</v>
      </c>
      <c r="L235" s="1">
        <v>18</v>
      </c>
      <c r="M235" s="1">
        <v>28.657</v>
      </c>
      <c r="N235" s="1">
        <v>17</v>
      </c>
      <c r="O235" s="1">
        <v>1529</v>
      </c>
      <c r="P235" s="1">
        <v>37.973300000000002</v>
      </c>
      <c r="Q235" s="1">
        <v>43.816000000000003</v>
      </c>
      <c r="R235" s="5">
        <v>1.0300925925925926E-3</v>
      </c>
      <c r="S235" s="1">
        <v>13351</v>
      </c>
      <c r="T235" s="6">
        <v>8.4499999999999993</v>
      </c>
      <c r="U235" s="1" t="str">
        <f>IF(ISNUMBER(SEARCH("Vande Bharat",Table1[[#This Row],[Video title]])),"Vande Bharat","Other")</f>
        <v>Other</v>
      </c>
    </row>
    <row r="236" spans="1:21" x14ac:dyDescent="0.3">
      <c r="A236" s="4" t="s">
        <v>492</v>
      </c>
      <c r="B236" s="1" t="s">
        <v>493</v>
      </c>
      <c r="C236" s="7">
        <v>44378</v>
      </c>
      <c r="D236" s="1">
        <v>366</v>
      </c>
      <c r="E236" s="1">
        <v>31.72</v>
      </c>
      <c r="F236" s="1">
        <v>5</v>
      </c>
      <c r="G236" s="1">
        <v>1</v>
      </c>
      <c r="H236" s="1">
        <v>84</v>
      </c>
      <c r="I236" s="1">
        <v>5</v>
      </c>
      <c r="J236" s="1">
        <v>94.38</v>
      </c>
      <c r="K236" s="1">
        <v>6</v>
      </c>
      <c r="L236" s="1">
        <v>19</v>
      </c>
      <c r="M236" s="1">
        <v>20.547000000000001</v>
      </c>
      <c r="N236" s="1">
        <v>22</v>
      </c>
      <c r="O236" s="1">
        <v>1557</v>
      </c>
      <c r="P236" s="1">
        <v>50.204700000000003</v>
      </c>
      <c r="Q236" s="1">
        <v>31.992000000000001</v>
      </c>
      <c r="R236" s="5">
        <v>1.3425925925925925E-3</v>
      </c>
      <c r="S236" s="1">
        <v>13726</v>
      </c>
      <c r="T236" s="6">
        <v>8.49</v>
      </c>
      <c r="U236" s="1" t="str">
        <f>IF(ISNUMBER(SEARCH("Vande Bharat",Table1[[#This Row],[Video title]])),"Vande Bharat","Other")</f>
        <v>Other</v>
      </c>
    </row>
    <row r="237" spans="1:21" x14ac:dyDescent="0.3">
      <c r="A237" s="4" t="s">
        <v>494</v>
      </c>
      <c r="B237" s="1" t="s">
        <v>495</v>
      </c>
      <c r="C237" s="7">
        <v>44563</v>
      </c>
      <c r="D237" s="1">
        <v>531</v>
      </c>
      <c r="E237" s="1">
        <v>19.260000000000002</v>
      </c>
      <c r="F237" s="1">
        <v>6</v>
      </c>
      <c r="G237" s="1">
        <v>0</v>
      </c>
      <c r="H237" s="1">
        <v>44</v>
      </c>
      <c r="I237" s="1">
        <v>0</v>
      </c>
      <c r="J237" s="1">
        <v>100</v>
      </c>
      <c r="K237" s="1">
        <v>3</v>
      </c>
      <c r="L237" s="1">
        <v>13</v>
      </c>
      <c r="M237" s="1">
        <v>26.292000000000002</v>
      </c>
      <c r="N237" s="1">
        <v>45</v>
      </c>
      <c r="O237" s="1">
        <v>1547</v>
      </c>
      <c r="P237" s="1">
        <v>43.945900000000002</v>
      </c>
      <c r="Q237" s="1">
        <v>40.673999999999999</v>
      </c>
      <c r="R237" s="5">
        <v>1.1805555555555556E-3</v>
      </c>
      <c r="S237" s="1">
        <v>16286</v>
      </c>
      <c r="T237" s="6">
        <v>4.78</v>
      </c>
      <c r="U237" s="1" t="str">
        <f>IF(ISNUMBER(SEARCH("Vande Bharat",Table1[[#This Row],[Video title]])),"Vande Bharat","Other")</f>
        <v>Other</v>
      </c>
    </row>
    <row r="238" spans="1:21" x14ac:dyDescent="0.3">
      <c r="A238" s="4" t="s">
        <v>410</v>
      </c>
      <c r="B238" s="1" t="s">
        <v>411</v>
      </c>
      <c r="C238" s="7">
        <v>45351</v>
      </c>
      <c r="D238" s="1">
        <v>50</v>
      </c>
      <c r="E238" s="1">
        <v>49.25</v>
      </c>
      <c r="F238" s="1">
        <v>5</v>
      </c>
      <c r="G238" s="1">
        <v>1</v>
      </c>
      <c r="H238" s="1">
        <v>30</v>
      </c>
      <c r="I238" s="1">
        <v>0</v>
      </c>
      <c r="J238" s="1">
        <v>100</v>
      </c>
      <c r="K238" s="1">
        <v>4</v>
      </c>
      <c r="L238" s="1">
        <v>6</v>
      </c>
      <c r="M238" s="1">
        <v>14.574</v>
      </c>
      <c r="N238" s="1">
        <v>88</v>
      </c>
      <c r="O238" s="1">
        <v>1859</v>
      </c>
      <c r="P238" s="1">
        <v>12.7151</v>
      </c>
      <c r="Q238" s="1">
        <v>27.093</v>
      </c>
      <c r="R238" s="5">
        <v>2.7777777777777778E-4</v>
      </c>
      <c r="S238" s="1">
        <v>17848</v>
      </c>
      <c r="T238" s="6">
        <v>8.61</v>
      </c>
      <c r="U238" s="1" t="str">
        <f>IF(ISNUMBER(SEARCH("Vande Bharat",Table1[[#This Row],[Video title]])),"Vande Bharat","Other")</f>
        <v>Vande Bharat</v>
      </c>
    </row>
    <row r="239" spans="1:21" x14ac:dyDescent="0.3">
      <c r="A239" s="4" t="s">
        <v>498</v>
      </c>
      <c r="B239" s="1" t="s">
        <v>499</v>
      </c>
      <c r="C239" s="7">
        <v>44291</v>
      </c>
      <c r="D239" s="1">
        <v>607</v>
      </c>
      <c r="E239" s="1">
        <v>21.49</v>
      </c>
      <c r="F239" s="1">
        <v>12</v>
      </c>
      <c r="G239" s="1">
        <v>1</v>
      </c>
      <c r="H239" s="1">
        <v>59</v>
      </c>
      <c r="I239" s="1">
        <v>1</v>
      </c>
      <c r="J239" s="1">
        <v>98.33</v>
      </c>
      <c r="K239" s="1">
        <v>3</v>
      </c>
      <c r="L239" s="1">
        <v>18</v>
      </c>
      <c r="M239" s="1">
        <v>2.7679999999999998</v>
      </c>
      <c r="N239" s="1">
        <v>30</v>
      </c>
      <c r="O239" s="1">
        <v>1616</v>
      </c>
      <c r="P239" s="1">
        <v>58.541499999999999</v>
      </c>
      <c r="Q239" s="1">
        <v>4.4710000000000001</v>
      </c>
      <c r="R239" s="5">
        <v>1.5046296296296296E-3</v>
      </c>
      <c r="S239" s="1">
        <v>21583</v>
      </c>
      <c r="T239" s="6">
        <v>5.26</v>
      </c>
      <c r="U239" s="1" t="str">
        <f>IF(ISNUMBER(SEARCH("Vande Bharat",Table1[[#This Row],[Video title]])),"Vande Bharat","Other")</f>
        <v>Other</v>
      </c>
    </row>
    <row r="240" spans="1:21" x14ac:dyDescent="0.3">
      <c r="A240" s="4" t="s">
        <v>500</v>
      </c>
      <c r="B240" s="1" t="s">
        <v>501</v>
      </c>
      <c r="C240" s="7">
        <v>44367</v>
      </c>
      <c r="D240" s="1">
        <v>486</v>
      </c>
      <c r="E240" s="1">
        <v>27.69</v>
      </c>
      <c r="F240" s="1">
        <v>6</v>
      </c>
      <c r="G240" s="1">
        <v>3</v>
      </c>
      <c r="H240" s="1">
        <v>84</v>
      </c>
      <c r="I240" s="1">
        <v>2</v>
      </c>
      <c r="J240" s="1">
        <v>97.67</v>
      </c>
      <c r="K240" s="1">
        <v>3</v>
      </c>
      <c r="L240" s="1">
        <v>31</v>
      </c>
      <c r="M240" s="1">
        <v>34.862000000000002</v>
      </c>
      <c r="N240" s="1">
        <v>34</v>
      </c>
      <c r="O240" s="1">
        <v>1650</v>
      </c>
      <c r="P240" s="1">
        <v>61.680799999999998</v>
      </c>
      <c r="Q240" s="1">
        <v>57.523000000000003</v>
      </c>
      <c r="R240" s="5">
        <v>1.5509259259259259E-3</v>
      </c>
      <c r="S240" s="1">
        <v>20203</v>
      </c>
      <c r="T240" s="6">
        <v>5.86</v>
      </c>
      <c r="U240" s="1" t="str">
        <f>IF(ISNUMBER(SEARCH("Vande Bharat",Table1[[#This Row],[Video title]])),"Vande Bharat","Other")</f>
        <v>Other</v>
      </c>
    </row>
    <row r="241" spans="1:21" x14ac:dyDescent="0.3">
      <c r="A241" s="4" t="s">
        <v>502</v>
      </c>
      <c r="B241" s="1" t="s">
        <v>503</v>
      </c>
      <c r="C241" s="7">
        <v>44239</v>
      </c>
      <c r="D241" s="1">
        <v>1408</v>
      </c>
      <c r="E241" s="1">
        <v>16.37</v>
      </c>
      <c r="F241" s="1">
        <v>16</v>
      </c>
      <c r="G241" s="1">
        <v>2</v>
      </c>
      <c r="H241" s="1">
        <v>64</v>
      </c>
      <c r="I241" s="1">
        <v>1</v>
      </c>
      <c r="J241" s="1">
        <v>98.46</v>
      </c>
      <c r="K241" s="1">
        <v>6</v>
      </c>
      <c r="L241" s="1">
        <v>20</v>
      </c>
      <c r="M241" s="1">
        <v>2.1680000000000001</v>
      </c>
      <c r="N241" s="1">
        <v>30</v>
      </c>
      <c r="O241" s="1">
        <v>1729</v>
      </c>
      <c r="P241" s="1">
        <v>110.7316</v>
      </c>
      <c r="Q241" s="1">
        <v>3.7490000000000001</v>
      </c>
      <c r="R241" s="5">
        <v>2.662037037037037E-3</v>
      </c>
      <c r="S241" s="1">
        <v>23289</v>
      </c>
      <c r="T241" s="6">
        <v>5.08</v>
      </c>
      <c r="U241" s="1" t="str">
        <f>IF(ISNUMBER(SEARCH("Vande Bharat",Table1[[#This Row],[Video title]])),"Vande Bharat","Other")</f>
        <v>Other</v>
      </c>
    </row>
    <row r="242" spans="1:21" x14ac:dyDescent="0.3">
      <c r="A242" s="4" t="s">
        <v>504</v>
      </c>
      <c r="B242" s="1" t="s">
        <v>505</v>
      </c>
      <c r="C242" s="7">
        <v>44382</v>
      </c>
      <c r="D242" s="1">
        <v>3107</v>
      </c>
      <c r="E242" s="1">
        <v>7.74</v>
      </c>
      <c r="F242" s="1">
        <v>5</v>
      </c>
      <c r="G242" s="1">
        <v>0</v>
      </c>
      <c r="H242" s="1">
        <v>66</v>
      </c>
      <c r="I242" s="1">
        <v>5</v>
      </c>
      <c r="J242" s="1">
        <v>92.96</v>
      </c>
      <c r="K242" s="1">
        <v>4</v>
      </c>
      <c r="L242" s="1">
        <v>17</v>
      </c>
      <c r="M242" s="1">
        <v>29.707999999999998</v>
      </c>
      <c r="N242" s="1">
        <v>22</v>
      </c>
      <c r="O242" s="1">
        <v>1692</v>
      </c>
      <c r="P242" s="1">
        <v>112.98139999999999</v>
      </c>
      <c r="Q242" s="1">
        <v>50.265999999999998</v>
      </c>
      <c r="R242" s="5">
        <v>2.7777777777777779E-3</v>
      </c>
      <c r="S242" s="1">
        <v>20770</v>
      </c>
      <c r="T242" s="6">
        <v>4.95</v>
      </c>
      <c r="U242" s="1" t="str">
        <f>IF(ISNUMBER(SEARCH("Vande Bharat",Table1[[#This Row],[Video title]])),"Vande Bharat","Other")</f>
        <v>Other</v>
      </c>
    </row>
    <row r="243" spans="1:21" x14ac:dyDescent="0.3">
      <c r="A243" s="4" t="s">
        <v>506</v>
      </c>
      <c r="B243" s="1" t="s">
        <v>507</v>
      </c>
      <c r="C243" s="7">
        <v>44391</v>
      </c>
      <c r="D243" s="1">
        <v>225</v>
      </c>
      <c r="E243" s="1">
        <v>26.24</v>
      </c>
      <c r="F243" s="1">
        <v>3</v>
      </c>
      <c r="G243" s="1">
        <v>0</v>
      </c>
      <c r="H243" s="1">
        <v>35</v>
      </c>
      <c r="I243" s="1">
        <v>3</v>
      </c>
      <c r="J243" s="1">
        <v>92.11</v>
      </c>
      <c r="K243" s="1">
        <v>1</v>
      </c>
      <c r="L243" s="1">
        <v>7</v>
      </c>
      <c r="M243" s="1">
        <v>17.384</v>
      </c>
      <c r="N243" s="1">
        <v>14</v>
      </c>
      <c r="O243" s="1">
        <v>1425</v>
      </c>
      <c r="P243" s="1">
        <v>23.3721</v>
      </c>
      <c r="Q243" s="1">
        <v>24.754999999999999</v>
      </c>
      <c r="R243" s="5">
        <v>6.8287037037037036E-4</v>
      </c>
      <c r="S243" s="1">
        <v>10555</v>
      </c>
      <c r="T243" s="6">
        <v>10.07</v>
      </c>
      <c r="U243" s="1" t="str">
        <f>IF(ISNUMBER(SEARCH("Vande Bharat",Table1[[#This Row],[Video title]])),"Vande Bharat","Other")</f>
        <v>Other</v>
      </c>
    </row>
    <row r="244" spans="1:21" x14ac:dyDescent="0.3">
      <c r="A244" s="4" t="s">
        <v>508</v>
      </c>
      <c r="B244" s="1" t="s">
        <v>509</v>
      </c>
      <c r="C244" s="7">
        <v>44364</v>
      </c>
      <c r="D244" s="1">
        <v>274</v>
      </c>
      <c r="E244" s="1">
        <v>31.35</v>
      </c>
      <c r="F244" s="1">
        <v>6</v>
      </c>
      <c r="G244" s="1">
        <v>1</v>
      </c>
      <c r="H244" s="1">
        <v>61</v>
      </c>
      <c r="I244" s="1">
        <v>3</v>
      </c>
      <c r="J244" s="1">
        <v>95.31</v>
      </c>
      <c r="K244" s="1">
        <v>4</v>
      </c>
      <c r="L244" s="1">
        <v>11</v>
      </c>
      <c r="M244" s="1">
        <v>17.302</v>
      </c>
      <c r="N244" s="1">
        <v>17</v>
      </c>
      <c r="O244" s="1">
        <v>1504</v>
      </c>
      <c r="P244" s="1">
        <v>35.889800000000001</v>
      </c>
      <c r="Q244" s="1">
        <v>26.021999999999998</v>
      </c>
      <c r="R244" s="5">
        <v>9.837962962962962E-4</v>
      </c>
      <c r="S244" s="1">
        <v>16875</v>
      </c>
      <c r="T244" s="6">
        <v>6.53</v>
      </c>
      <c r="U244" s="1" t="str">
        <f>IF(ISNUMBER(SEARCH("Vande Bharat",Table1[[#This Row],[Video title]])),"Vande Bharat","Other")</f>
        <v>Other</v>
      </c>
    </row>
    <row r="245" spans="1:21" x14ac:dyDescent="0.3">
      <c r="A245" s="4" t="s">
        <v>510</v>
      </c>
      <c r="B245" s="1" t="s">
        <v>511</v>
      </c>
      <c r="C245" s="7">
        <v>44256</v>
      </c>
      <c r="D245" s="1">
        <v>319</v>
      </c>
      <c r="E245" s="1">
        <v>32.229999999999997</v>
      </c>
      <c r="F245" s="1">
        <v>7</v>
      </c>
      <c r="G245" s="1">
        <v>0</v>
      </c>
      <c r="H245" s="1">
        <v>79</v>
      </c>
      <c r="I245" s="1">
        <v>0</v>
      </c>
      <c r="J245" s="1">
        <v>100</v>
      </c>
      <c r="K245" s="1">
        <v>23</v>
      </c>
      <c r="L245" s="1">
        <v>25</v>
      </c>
      <c r="M245" s="1">
        <v>1.3540000000000001</v>
      </c>
      <c r="N245" s="1">
        <v>12</v>
      </c>
      <c r="O245" s="1">
        <v>1535</v>
      </c>
      <c r="P245" s="1">
        <v>43.838999999999999</v>
      </c>
      <c r="Q245" s="1">
        <v>2.0779999999999998</v>
      </c>
      <c r="R245" s="5">
        <v>1.1805555555555556E-3</v>
      </c>
      <c r="S245" s="1">
        <v>17969</v>
      </c>
      <c r="T245" s="6">
        <v>6.07</v>
      </c>
      <c r="U245" s="1" t="str">
        <f>IF(ISNUMBER(SEARCH("Vande Bharat",Table1[[#This Row],[Video title]])),"Vande Bharat","Other")</f>
        <v>Other</v>
      </c>
    </row>
    <row r="246" spans="1:21" x14ac:dyDescent="0.3">
      <c r="A246" s="4" t="s">
        <v>512</v>
      </c>
      <c r="B246" s="1" t="s">
        <v>513</v>
      </c>
      <c r="C246" s="7">
        <v>44617</v>
      </c>
      <c r="D246" s="1">
        <v>252</v>
      </c>
      <c r="E246" s="1">
        <v>23.42</v>
      </c>
      <c r="F246" s="1">
        <v>5</v>
      </c>
      <c r="G246" s="1">
        <v>1</v>
      </c>
      <c r="H246" s="1">
        <v>32</v>
      </c>
      <c r="I246" s="1">
        <v>0</v>
      </c>
      <c r="J246" s="1">
        <v>100</v>
      </c>
      <c r="K246" s="1">
        <v>2</v>
      </c>
      <c r="L246" s="1">
        <v>7</v>
      </c>
      <c r="M246" s="1">
        <v>18.934000000000001</v>
      </c>
      <c r="N246" s="1">
        <v>27</v>
      </c>
      <c r="O246" s="1">
        <v>1454</v>
      </c>
      <c r="P246" s="1">
        <v>23.833200000000001</v>
      </c>
      <c r="Q246" s="1">
        <v>27.53</v>
      </c>
      <c r="R246" s="5">
        <v>6.8287037037037036E-4</v>
      </c>
      <c r="S246" s="1">
        <v>15640</v>
      </c>
      <c r="T246" s="6">
        <v>4.53</v>
      </c>
      <c r="U246" s="1" t="str">
        <f>IF(ISNUMBER(SEARCH("Vande Bharat",Table1[[#This Row],[Video title]])),"Vande Bharat","Other")</f>
        <v>Other</v>
      </c>
    </row>
    <row r="247" spans="1:21" x14ac:dyDescent="0.3">
      <c r="A247" s="4" t="s">
        <v>514</v>
      </c>
      <c r="B247" s="1" t="s">
        <v>515</v>
      </c>
      <c r="C247" s="7">
        <v>44460</v>
      </c>
      <c r="D247" s="1">
        <v>974</v>
      </c>
      <c r="E247" s="1">
        <v>19.93</v>
      </c>
      <c r="F247" s="1">
        <v>4</v>
      </c>
      <c r="G247" s="1">
        <v>0</v>
      </c>
      <c r="H247" s="1">
        <v>53</v>
      </c>
      <c r="I247" s="1">
        <v>1</v>
      </c>
      <c r="J247" s="1">
        <v>98.15</v>
      </c>
      <c r="K247" s="1">
        <v>2</v>
      </c>
      <c r="L247" s="1">
        <v>14</v>
      </c>
      <c r="M247" s="1">
        <v>38.374000000000002</v>
      </c>
      <c r="N247" s="1">
        <v>28</v>
      </c>
      <c r="O247" s="1">
        <v>1720</v>
      </c>
      <c r="P247" s="1">
        <v>92.766599999999997</v>
      </c>
      <c r="Q247" s="1">
        <v>66.004000000000005</v>
      </c>
      <c r="R247" s="5">
        <v>2.2453703703703702E-3</v>
      </c>
      <c r="S247" s="1">
        <v>20300</v>
      </c>
      <c r="T247" s="6">
        <v>5.26</v>
      </c>
      <c r="U247" s="1" t="str">
        <f>IF(ISNUMBER(SEARCH("Vande Bharat",Table1[[#This Row],[Video title]])),"Vande Bharat","Other")</f>
        <v>Other</v>
      </c>
    </row>
    <row r="248" spans="1:21" x14ac:dyDescent="0.3">
      <c r="A248" s="4" t="s">
        <v>516</v>
      </c>
      <c r="B248" s="1" t="s">
        <v>517</v>
      </c>
      <c r="C248" s="7">
        <v>44366</v>
      </c>
      <c r="D248" s="1">
        <v>78</v>
      </c>
      <c r="E248" s="1">
        <v>58.79</v>
      </c>
      <c r="F248" s="1">
        <v>1</v>
      </c>
      <c r="G248" s="1">
        <v>1</v>
      </c>
      <c r="H248" s="1">
        <v>69</v>
      </c>
      <c r="I248" s="1">
        <v>4</v>
      </c>
      <c r="J248" s="1">
        <v>94.52</v>
      </c>
      <c r="K248" s="1">
        <v>3</v>
      </c>
      <c r="L248" s="1">
        <v>17</v>
      </c>
      <c r="M248" s="1">
        <v>24.754999999999999</v>
      </c>
      <c r="N248" s="1">
        <v>24</v>
      </c>
      <c r="O248" s="1">
        <v>1553</v>
      </c>
      <c r="P248" s="1">
        <v>19.782699999999998</v>
      </c>
      <c r="Q248" s="1">
        <v>38.444000000000003</v>
      </c>
      <c r="R248" s="5">
        <v>5.2083333333333333E-4</v>
      </c>
      <c r="S248" s="1">
        <v>9849</v>
      </c>
      <c r="T248" s="6">
        <v>11.39</v>
      </c>
      <c r="U248" s="1" t="str">
        <f>IF(ISNUMBER(SEARCH("Vande Bharat",Table1[[#This Row],[Video title]])),"Vande Bharat","Other")</f>
        <v>Other</v>
      </c>
    </row>
    <row r="249" spans="1:21" x14ac:dyDescent="0.3">
      <c r="A249" s="4" t="s">
        <v>518</v>
      </c>
      <c r="B249" s="1" t="s">
        <v>519</v>
      </c>
      <c r="C249" s="7">
        <v>45931</v>
      </c>
      <c r="D249" s="1">
        <v>24</v>
      </c>
      <c r="E249" s="1">
        <v>60.59</v>
      </c>
      <c r="F249" s="1">
        <v>6</v>
      </c>
      <c r="G249" s="1">
        <v>0</v>
      </c>
      <c r="H249" s="1">
        <v>73</v>
      </c>
      <c r="I249" s="1">
        <v>1</v>
      </c>
      <c r="J249" s="1">
        <v>98.65</v>
      </c>
      <c r="K249" s="1">
        <v>2</v>
      </c>
      <c r="L249" s="1">
        <v>1</v>
      </c>
      <c r="M249" s="1">
        <v>1.0489999999999999</v>
      </c>
      <c r="N249" s="1">
        <v>145</v>
      </c>
      <c r="O249" s="1">
        <v>2978</v>
      </c>
      <c r="P249" s="1">
        <v>6.3734000000000002</v>
      </c>
      <c r="Q249" s="1">
        <v>1.502</v>
      </c>
      <c r="R249" s="5">
        <v>1.6203703703703703E-4</v>
      </c>
      <c r="S249" s="1">
        <v>6688</v>
      </c>
      <c r="T249" s="6">
        <v>5.98</v>
      </c>
      <c r="U249" s="1" t="str">
        <f>IF(ISNUMBER(SEARCH("Vande Bharat",Table1[[#This Row],[Video title]])),"Vande Bharat","Other")</f>
        <v>Other</v>
      </c>
    </row>
    <row r="250" spans="1:21" x14ac:dyDescent="0.3">
      <c r="A250" s="4" t="s">
        <v>520</v>
      </c>
      <c r="B250" s="1" t="s">
        <v>521</v>
      </c>
      <c r="C250" s="7">
        <v>44369</v>
      </c>
      <c r="D250" s="1">
        <v>583</v>
      </c>
      <c r="E250" s="1">
        <v>31.48</v>
      </c>
      <c r="F250" s="1">
        <v>6</v>
      </c>
      <c r="G250" s="1">
        <v>1</v>
      </c>
      <c r="H250" s="1">
        <v>72</v>
      </c>
      <c r="I250" s="1">
        <v>5</v>
      </c>
      <c r="J250" s="1">
        <v>93.51</v>
      </c>
      <c r="K250" s="1">
        <v>3</v>
      </c>
      <c r="L250" s="1">
        <v>24</v>
      </c>
      <c r="M250" s="1">
        <v>40.506999999999998</v>
      </c>
      <c r="N250" s="1">
        <v>32</v>
      </c>
      <c r="O250" s="1">
        <v>1662</v>
      </c>
      <c r="P250" s="1">
        <v>84.735100000000003</v>
      </c>
      <c r="Q250" s="1">
        <v>67.322999999999993</v>
      </c>
      <c r="R250" s="5">
        <v>2.1180555555555558E-3</v>
      </c>
      <c r="S250" s="1">
        <v>22583</v>
      </c>
      <c r="T250" s="6">
        <v>5.09</v>
      </c>
      <c r="U250" s="1" t="str">
        <f>IF(ISNUMBER(SEARCH("Vande Bharat",Table1[[#This Row],[Video title]])),"Vande Bharat","Other")</f>
        <v>Other</v>
      </c>
    </row>
    <row r="251" spans="1:21" x14ac:dyDescent="0.3">
      <c r="A251" s="4" t="s">
        <v>522</v>
      </c>
      <c r="B251" s="1" t="s">
        <v>523</v>
      </c>
      <c r="C251" s="7">
        <v>44411</v>
      </c>
      <c r="D251" s="1">
        <v>119</v>
      </c>
      <c r="E251" s="1">
        <v>35.18</v>
      </c>
      <c r="F251" s="1">
        <v>5</v>
      </c>
      <c r="G251" s="1">
        <v>1</v>
      </c>
      <c r="H251" s="1">
        <v>38</v>
      </c>
      <c r="I251" s="1">
        <v>3</v>
      </c>
      <c r="J251" s="1">
        <v>92.68</v>
      </c>
      <c r="K251" s="1">
        <v>2</v>
      </c>
      <c r="L251" s="1">
        <v>9</v>
      </c>
      <c r="M251" s="1">
        <v>15.224</v>
      </c>
      <c r="N251" s="1">
        <v>10</v>
      </c>
      <c r="O251" s="1">
        <v>1417</v>
      </c>
      <c r="P251" s="1">
        <v>16.477399999999999</v>
      </c>
      <c r="Q251" s="1">
        <v>21.573</v>
      </c>
      <c r="R251" s="5">
        <v>4.7453703703703704E-4</v>
      </c>
      <c r="S251" s="1">
        <v>11366</v>
      </c>
      <c r="T251" s="6">
        <v>9.1300000000000008</v>
      </c>
      <c r="U251" s="1" t="str">
        <f>IF(ISNUMBER(SEARCH("Vande Bharat",Table1[[#This Row],[Video title]])),"Vande Bharat","Other")</f>
        <v>Other</v>
      </c>
    </row>
    <row r="252" spans="1:21" x14ac:dyDescent="0.3">
      <c r="A252" s="4" t="s">
        <v>524</v>
      </c>
      <c r="B252" s="1" t="s">
        <v>525</v>
      </c>
      <c r="C252" s="7">
        <v>44862</v>
      </c>
      <c r="D252" s="1">
        <v>80</v>
      </c>
      <c r="E252" s="1">
        <v>46.44</v>
      </c>
      <c r="F252" s="1">
        <v>1</v>
      </c>
      <c r="G252" s="1">
        <v>0</v>
      </c>
      <c r="H252" s="1">
        <v>32</v>
      </c>
      <c r="I252" s="1">
        <v>0</v>
      </c>
      <c r="J252" s="1">
        <v>100</v>
      </c>
      <c r="K252" s="1">
        <v>2</v>
      </c>
      <c r="L252" s="1">
        <v>12</v>
      </c>
      <c r="M252" s="1">
        <v>14.148999999999999</v>
      </c>
      <c r="N252" s="1">
        <v>52</v>
      </c>
      <c r="O252" s="1">
        <v>1406</v>
      </c>
      <c r="P252" s="1">
        <v>14.5107</v>
      </c>
      <c r="Q252" s="1">
        <v>19.879000000000001</v>
      </c>
      <c r="R252" s="5">
        <v>4.2824074074074075E-4</v>
      </c>
      <c r="S252" s="1">
        <v>13948</v>
      </c>
      <c r="T252" s="6">
        <v>8.74</v>
      </c>
      <c r="U252" s="1" t="str">
        <f>IF(ISNUMBER(SEARCH("Vande Bharat",Table1[[#This Row],[Video title]])),"Vande Bharat","Other")</f>
        <v>Other</v>
      </c>
    </row>
    <row r="253" spans="1:21" x14ac:dyDescent="0.3">
      <c r="A253" s="4" t="s">
        <v>526</v>
      </c>
      <c r="B253" s="1" t="s">
        <v>527</v>
      </c>
      <c r="C253" s="7">
        <v>45700</v>
      </c>
      <c r="D253" s="1">
        <v>17</v>
      </c>
      <c r="E253" s="1">
        <v>56.48</v>
      </c>
      <c r="F253" s="1">
        <v>0</v>
      </c>
      <c r="G253" s="1">
        <v>0</v>
      </c>
      <c r="H253" s="1">
        <v>24</v>
      </c>
      <c r="I253" s="1">
        <v>2</v>
      </c>
      <c r="J253" s="1">
        <v>92.31</v>
      </c>
      <c r="K253" s="1">
        <v>1</v>
      </c>
      <c r="L253" s="1">
        <v>0</v>
      </c>
      <c r="M253" s="1">
        <v>0.71199999999999997</v>
      </c>
      <c r="N253" s="1">
        <v>34</v>
      </c>
      <c r="O253" s="1">
        <v>1398</v>
      </c>
      <c r="P253" s="1">
        <v>3.5253000000000001</v>
      </c>
      <c r="Q253" s="1">
        <v>0.93200000000000005</v>
      </c>
      <c r="R253" s="5">
        <v>1.0416666666666667E-4</v>
      </c>
      <c r="S253" s="1">
        <v>2029</v>
      </c>
      <c r="T253" s="6">
        <v>2.56</v>
      </c>
      <c r="U253" s="1" t="str">
        <f>IF(ISNUMBER(SEARCH("Vande Bharat",Table1[[#This Row],[Video title]])),"Vande Bharat","Other")</f>
        <v>Other</v>
      </c>
    </row>
    <row r="254" spans="1:21" x14ac:dyDescent="0.3">
      <c r="A254" s="4" t="s">
        <v>528</v>
      </c>
      <c r="B254" s="1" t="s">
        <v>529</v>
      </c>
      <c r="C254" s="7">
        <v>44538</v>
      </c>
      <c r="D254" s="1">
        <v>76</v>
      </c>
      <c r="E254" s="1">
        <v>54.93</v>
      </c>
      <c r="F254" s="1">
        <v>2</v>
      </c>
      <c r="G254" s="1">
        <v>0</v>
      </c>
      <c r="H254" s="1">
        <v>48</v>
      </c>
      <c r="I254" s="1">
        <v>1</v>
      </c>
      <c r="J254" s="1">
        <v>97.96</v>
      </c>
      <c r="K254" s="1">
        <v>2</v>
      </c>
      <c r="L254" s="1">
        <v>14</v>
      </c>
      <c r="M254" s="1">
        <v>25.949000000000002</v>
      </c>
      <c r="N254" s="1">
        <v>25</v>
      </c>
      <c r="O254" s="1">
        <v>1545</v>
      </c>
      <c r="P254" s="1">
        <v>17.915099999999999</v>
      </c>
      <c r="Q254" s="1">
        <v>40.091000000000001</v>
      </c>
      <c r="R254" s="5">
        <v>4.7453703703703704E-4</v>
      </c>
      <c r="S254" s="1">
        <v>10493</v>
      </c>
      <c r="T254" s="6">
        <v>9</v>
      </c>
      <c r="U254" s="1" t="str">
        <f>IF(ISNUMBER(SEARCH("Vande Bharat",Table1[[#This Row],[Video title]])),"Vande Bharat","Other")</f>
        <v>Other</v>
      </c>
    </row>
    <row r="255" spans="1:21" x14ac:dyDescent="0.3">
      <c r="A255" s="4" t="s">
        <v>530</v>
      </c>
      <c r="B255" s="1" t="s">
        <v>531</v>
      </c>
      <c r="C255" s="7">
        <v>44398</v>
      </c>
      <c r="D255" s="1">
        <v>1958</v>
      </c>
      <c r="E255" s="1">
        <v>11</v>
      </c>
      <c r="F255" s="1">
        <v>3</v>
      </c>
      <c r="G255" s="1">
        <v>1</v>
      </c>
      <c r="H255" s="1">
        <v>58</v>
      </c>
      <c r="I255" s="1">
        <v>3</v>
      </c>
      <c r="J255" s="1">
        <v>95.08</v>
      </c>
      <c r="K255" s="1">
        <v>4</v>
      </c>
      <c r="L255" s="1">
        <v>6</v>
      </c>
      <c r="M255" s="1">
        <v>28.37</v>
      </c>
      <c r="N255" s="1">
        <v>23</v>
      </c>
      <c r="O255" s="1">
        <v>1721</v>
      </c>
      <c r="P255" s="1">
        <v>102.9524</v>
      </c>
      <c r="Q255" s="1">
        <v>49.234999999999999</v>
      </c>
      <c r="R255" s="5">
        <v>2.488425925925926E-3</v>
      </c>
      <c r="S255" s="1">
        <v>22444</v>
      </c>
      <c r="T255" s="6">
        <v>5.29</v>
      </c>
      <c r="U255" s="1" t="str">
        <f>IF(ISNUMBER(SEARCH("Vande Bharat",Table1[[#This Row],[Video title]])),"Vande Bharat","Other")</f>
        <v>Other</v>
      </c>
    </row>
    <row r="256" spans="1:21" x14ac:dyDescent="0.3">
      <c r="A256" s="4" t="s">
        <v>532</v>
      </c>
      <c r="B256" s="1" t="s">
        <v>533</v>
      </c>
      <c r="C256" s="7">
        <v>44264</v>
      </c>
      <c r="D256" s="1">
        <v>228</v>
      </c>
      <c r="E256" s="1">
        <v>37.020000000000003</v>
      </c>
      <c r="F256" s="1">
        <v>8</v>
      </c>
      <c r="G256" s="1">
        <v>0</v>
      </c>
      <c r="H256" s="1">
        <v>39</v>
      </c>
      <c r="I256" s="1">
        <v>0</v>
      </c>
      <c r="J256" s="1">
        <v>100</v>
      </c>
      <c r="K256" s="1">
        <v>3</v>
      </c>
      <c r="L256" s="1">
        <v>10</v>
      </c>
      <c r="M256" s="1">
        <v>7.7069999999999999</v>
      </c>
      <c r="N256" s="1">
        <v>9</v>
      </c>
      <c r="O256" s="1">
        <v>1406</v>
      </c>
      <c r="P256" s="1">
        <v>32.9619</v>
      </c>
      <c r="Q256" s="1">
        <v>10.829000000000001</v>
      </c>
      <c r="R256" s="5">
        <v>9.7222222222222219E-4</v>
      </c>
      <c r="S256" s="1">
        <v>14977</v>
      </c>
      <c r="T256" s="6">
        <v>6.89</v>
      </c>
      <c r="U256" s="1" t="str">
        <f>IF(ISNUMBER(SEARCH("Vande Bharat",Table1[[#This Row],[Video title]])),"Vande Bharat","Other")</f>
        <v>Other</v>
      </c>
    </row>
    <row r="257" spans="1:21" x14ac:dyDescent="0.3">
      <c r="A257" s="4" t="s">
        <v>534</v>
      </c>
      <c r="B257" s="1" t="s">
        <v>535</v>
      </c>
      <c r="C257" s="7">
        <v>44349</v>
      </c>
      <c r="D257" s="1">
        <v>276</v>
      </c>
      <c r="E257" s="1">
        <v>37.729999999999997</v>
      </c>
      <c r="F257" s="1">
        <v>6</v>
      </c>
      <c r="G257" s="1">
        <v>0</v>
      </c>
      <c r="H257" s="1">
        <v>71</v>
      </c>
      <c r="I257" s="1">
        <v>2</v>
      </c>
      <c r="J257" s="1">
        <v>97.26</v>
      </c>
      <c r="K257" s="1">
        <v>3</v>
      </c>
      <c r="L257" s="1">
        <v>19</v>
      </c>
      <c r="M257" s="1">
        <v>24.791</v>
      </c>
      <c r="N257" s="1">
        <v>18</v>
      </c>
      <c r="O257" s="1">
        <v>1479</v>
      </c>
      <c r="P257" s="1">
        <v>42.779400000000003</v>
      </c>
      <c r="Q257" s="1">
        <v>36.665999999999997</v>
      </c>
      <c r="R257" s="5">
        <v>1.2037037037037038E-3</v>
      </c>
      <c r="S257" s="1">
        <v>18219</v>
      </c>
      <c r="T257" s="6">
        <v>5.71</v>
      </c>
      <c r="U257" s="1" t="str">
        <f>IF(ISNUMBER(SEARCH("Vande Bharat",Table1[[#This Row],[Video title]])),"Vande Bharat","Other")</f>
        <v>Other</v>
      </c>
    </row>
    <row r="258" spans="1:21" x14ac:dyDescent="0.3">
      <c r="A258" s="4" t="s">
        <v>536</v>
      </c>
      <c r="B258" s="1" t="s">
        <v>537</v>
      </c>
      <c r="C258" s="7">
        <v>44265</v>
      </c>
      <c r="D258" s="1">
        <v>1174</v>
      </c>
      <c r="E258" s="1">
        <v>18.489999999999998</v>
      </c>
      <c r="F258" s="1">
        <v>10</v>
      </c>
      <c r="G258" s="1">
        <v>1</v>
      </c>
      <c r="H258" s="1">
        <v>65</v>
      </c>
      <c r="I258" s="1">
        <v>2</v>
      </c>
      <c r="J258" s="1">
        <v>97.01</v>
      </c>
      <c r="K258" s="1">
        <v>3</v>
      </c>
      <c r="L258" s="1">
        <v>15</v>
      </c>
      <c r="M258" s="1">
        <v>1.258</v>
      </c>
      <c r="N258" s="1">
        <v>27</v>
      </c>
      <c r="O258" s="1">
        <v>1599</v>
      </c>
      <c r="P258" s="1">
        <v>96.429500000000004</v>
      </c>
      <c r="Q258" s="1">
        <v>2.012</v>
      </c>
      <c r="R258" s="5">
        <v>2.5115740740740741E-3</v>
      </c>
      <c r="S258" s="1">
        <v>28740</v>
      </c>
      <c r="T258" s="6">
        <v>4.12</v>
      </c>
      <c r="U258" s="1" t="str">
        <f>IF(ISNUMBER(SEARCH("Vande Bharat",Table1[[#This Row],[Video title]])),"Vande Bharat","Other")</f>
        <v>Other</v>
      </c>
    </row>
    <row r="259" spans="1:21" x14ac:dyDescent="0.3">
      <c r="A259" s="4" t="s">
        <v>538</v>
      </c>
      <c r="B259" s="1" t="s">
        <v>539</v>
      </c>
      <c r="C259" s="7">
        <v>45228</v>
      </c>
      <c r="D259" s="1">
        <v>486</v>
      </c>
      <c r="E259" s="1">
        <v>20.190000000000001</v>
      </c>
      <c r="F259" s="1">
        <v>3</v>
      </c>
      <c r="G259" s="1">
        <v>1</v>
      </c>
      <c r="H259" s="1">
        <v>45</v>
      </c>
      <c r="I259" s="1">
        <v>2</v>
      </c>
      <c r="J259" s="1">
        <v>95.74</v>
      </c>
      <c r="K259" s="1">
        <v>3</v>
      </c>
      <c r="L259" s="1">
        <v>4</v>
      </c>
      <c r="M259" s="1">
        <v>29.477</v>
      </c>
      <c r="N259" s="1">
        <v>22</v>
      </c>
      <c r="O259" s="1">
        <v>1423</v>
      </c>
      <c r="P259" s="1">
        <v>38.783700000000003</v>
      </c>
      <c r="Q259" s="1">
        <v>41.945999999999998</v>
      </c>
      <c r="R259" s="5">
        <v>1.1342592592592593E-3</v>
      </c>
      <c r="S259" s="1">
        <v>13412</v>
      </c>
      <c r="T259" s="6">
        <v>8.34</v>
      </c>
      <c r="U259" s="1" t="str">
        <f>IF(ISNUMBER(SEARCH("Vande Bharat",Table1[[#This Row],[Video title]])),"Vande Bharat","Other")</f>
        <v>Other</v>
      </c>
    </row>
    <row r="260" spans="1:21" x14ac:dyDescent="0.3">
      <c r="A260" s="4" t="s">
        <v>540</v>
      </c>
      <c r="B260" s="1" t="s">
        <v>541</v>
      </c>
      <c r="C260" s="7">
        <v>44262</v>
      </c>
      <c r="D260" s="1">
        <v>1190</v>
      </c>
      <c r="E260" s="1">
        <v>19.13</v>
      </c>
      <c r="F260" s="1">
        <v>15</v>
      </c>
      <c r="G260" s="1">
        <v>2</v>
      </c>
      <c r="H260" s="1">
        <v>103</v>
      </c>
      <c r="I260" s="1">
        <v>4</v>
      </c>
      <c r="J260" s="1">
        <v>96.26</v>
      </c>
      <c r="K260" s="1">
        <v>8</v>
      </c>
      <c r="L260" s="1">
        <v>25</v>
      </c>
      <c r="M260" s="1">
        <v>1.958</v>
      </c>
      <c r="N260" s="1">
        <v>26</v>
      </c>
      <c r="O260" s="1">
        <v>1599</v>
      </c>
      <c r="P260" s="1">
        <v>101.10429999999999</v>
      </c>
      <c r="Q260" s="1">
        <v>3.1309999999999998</v>
      </c>
      <c r="R260" s="5">
        <v>2.627314814814815E-3</v>
      </c>
      <c r="S260" s="1">
        <v>26963</v>
      </c>
      <c r="T260" s="6">
        <v>4.16</v>
      </c>
      <c r="U260" s="1" t="str">
        <f>IF(ISNUMBER(SEARCH("Vande Bharat",Table1[[#This Row],[Video title]])),"Vande Bharat","Other")</f>
        <v>Other</v>
      </c>
    </row>
    <row r="261" spans="1:21" x14ac:dyDescent="0.3">
      <c r="A261" s="4" t="s">
        <v>542</v>
      </c>
      <c r="B261" s="1" t="s">
        <v>543</v>
      </c>
      <c r="C261" s="7">
        <v>44319</v>
      </c>
      <c r="D261" s="1">
        <v>1025</v>
      </c>
      <c r="E261" s="1">
        <v>17.510000000000002</v>
      </c>
      <c r="F261" s="1">
        <v>7</v>
      </c>
      <c r="G261" s="1">
        <v>1</v>
      </c>
      <c r="H261" s="1">
        <v>79</v>
      </c>
      <c r="I261" s="1">
        <v>3</v>
      </c>
      <c r="J261" s="1">
        <v>96.34</v>
      </c>
      <c r="K261" s="1">
        <v>4</v>
      </c>
      <c r="L261" s="1">
        <v>16</v>
      </c>
      <c r="M261" s="1">
        <v>43.518000000000001</v>
      </c>
      <c r="N261" s="1">
        <v>29</v>
      </c>
      <c r="O261" s="1">
        <v>1505</v>
      </c>
      <c r="P261" s="1">
        <v>75.046000000000006</v>
      </c>
      <c r="Q261" s="1">
        <v>65.494</v>
      </c>
      <c r="R261" s="5">
        <v>2.0717592592592593E-3</v>
      </c>
      <c r="S261" s="1">
        <v>17759</v>
      </c>
      <c r="T261" s="6">
        <v>6.31</v>
      </c>
      <c r="U261" s="1" t="str">
        <f>IF(ISNUMBER(SEARCH("Vande Bharat",Table1[[#This Row],[Video title]])),"Vande Bharat","Other")</f>
        <v>Other</v>
      </c>
    </row>
    <row r="262" spans="1:21" x14ac:dyDescent="0.3">
      <c r="A262" s="4" t="s">
        <v>544</v>
      </c>
      <c r="B262" s="1" t="s">
        <v>545</v>
      </c>
      <c r="C262" s="7">
        <v>44571</v>
      </c>
      <c r="D262" s="1">
        <v>192</v>
      </c>
      <c r="E262" s="1">
        <v>30.84</v>
      </c>
      <c r="F262" s="1">
        <v>2</v>
      </c>
      <c r="G262" s="1">
        <v>1</v>
      </c>
      <c r="H262" s="1">
        <v>38</v>
      </c>
      <c r="I262" s="1">
        <v>0</v>
      </c>
      <c r="J262" s="1">
        <v>100</v>
      </c>
      <c r="K262" s="1">
        <v>2</v>
      </c>
      <c r="L262" s="1">
        <v>8</v>
      </c>
      <c r="M262" s="1">
        <v>24.082000000000001</v>
      </c>
      <c r="N262" s="1">
        <v>28</v>
      </c>
      <c r="O262" s="1">
        <v>1380</v>
      </c>
      <c r="P262" s="1">
        <v>22.696000000000002</v>
      </c>
      <c r="Q262" s="1">
        <v>33.232999999999997</v>
      </c>
      <c r="R262" s="5">
        <v>6.8287037037037036E-4</v>
      </c>
      <c r="S262" s="1">
        <v>11439</v>
      </c>
      <c r="T262" s="6">
        <v>7.31</v>
      </c>
      <c r="U262" s="1" t="str">
        <f>IF(ISNUMBER(SEARCH("Vande Bharat",Table1[[#This Row],[Video title]])),"Vande Bharat","Other")</f>
        <v>Other</v>
      </c>
    </row>
    <row r="263" spans="1:21" x14ac:dyDescent="0.3">
      <c r="A263" s="4" t="s">
        <v>496</v>
      </c>
      <c r="B263" s="1" t="s">
        <v>497</v>
      </c>
      <c r="C263" s="7">
        <v>45292</v>
      </c>
      <c r="D263" s="1">
        <v>2005</v>
      </c>
      <c r="E263" s="1">
        <v>5.98</v>
      </c>
      <c r="F263" s="1">
        <v>1</v>
      </c>
      <c r="G263" s="1">
        <v>0</v>
      </c>
      <c r="H263" s="1">
        <v>31</v>
      </c>
      <c r="I263" s="1">
        <v>1</v>
      </c>
      <c r="J263" s="1">
        <v>96.88</v>
      </c>
      <c r="K263" s="1">
        <v>3</v>
      </c>
      <c r="L263" s="1">
        <v>3</v>
      </c>
      <c r="M263" s="1">
        <v>28.413</v>
      </c>
      <c r="N263" s="1">
        <v>46</v>
      </c>
      <c r="O263" s="1">
        <v>1430</v>
      </c>
      <c r="P263" s="1">
        <v>47.658299999999997</v>
      </c>
      <c r="Q263" s="1">
        <v>40.631</v>
      </c>
      <c r="R263" s="5">
        <v>1.3773148148148147E-3</v>
      </c>
      <c r="S263" s="1">
        <v>17653</v>
      </c>
      <c r="T263" s="6">
        <v>6.33</v>
      </c>
      <c r="U263" s="1" t="str">
        <f>IF(ISNUMBER(SEARCH("Vande Bharat",Table1[[#This Row],[Video title]])),"Vande Bharat","Other")</f>
        <v>Vande Bharat</v>
      </c>
    </row>
    <row r="264" spans="1:21" x14ac:dyDescent="0.3">
      <c r="A264" s="4" t="s">
        <v>548</v>
      </c>
      <c r="B264" s="1" t="s">
        <v>549</v>
      </c>
      <c r="C264" s="7">
        <v>44358</v>
      </c>
      <c r="D264" s="1">
        <v>251</v>
      </c>
      <c r="E264" s="1">
        <v>39.06</v>
      </c>
      <c r="F264" s="1">
        <v>6</v>
      </c>
      <c r="G264" s="1">
        <v>1</v>
      </c>
      <c r="H264" s="1">
        <v>64</v>
      </c>
      <c r="I264" s="1">
        <v>0</v>
      </c>
      <c r="J264" s="1">
        <v>100</v>
      </c>
      <c r="K264" s="1">
        <v>5</v>
      </c>
      <c r="L264" s="1">
        <v>15</v>
      </c>
      <c r="M264" s="1">
        <v>28.378</v>
      </c>
      <c r="N264" s="1">
        <v>20</v>
      </c>
      <c r="O264" s="1">
        <v>1409</v>
      </c>
      <c r="P264" s="1">
        <v>38.368000000000002</v>
      </c>
      <c r="Q264" s="1">
        <v>39.984999999999999</v>
      </c>
      <c r="R264" s="5">
        <v>1.1342592592592593E-3</v>
      </c>
      <c r="S264" s="1">
        <v>14975</v>
      </c>
      <c r="T264" s="6">
        <v>6.96</v>
      </c>
      <c r="U264" s="1" t="str">
        <f>IF(ISNUMBER(SEARCH("Vande Bharat",Table1[[#This Row],[Video title]])),"Vande Bharat","Other")</f>
        <v>Other</v>
      </c>
    </row>
    <row r="265" spans="1:21" x14ac:dyDescent="0.3">
      <c r="A265" s="4" t="s">
        <v>550</v>
      </c>
      <c r="B265" s="1" t="s">
        <v>551</v>
      </c>
      <c r="C265" s="7">
        <v>44435</v>
      </c>
      <c r="D265" s="1">
        <v>1087</v>
      </c>
      <c r="E265" s="1">
        <v>16.93</v>
      </c>
      <c r="F265" s="1">
        <v>5</v>
      </c>
      <c r="G265" s="1">
        <v>0</v>
      </c>
      <c r="H265" s="1">
        <v>46</v>
      </c>
      <c r="I265" s="1">
        <v>1</v>
      </c>
      <c r="J265" s="1">
        <v>97.87</v>
      </c>
      <c r="K265" s="1">
        <v>1</v>
      </c>
      <c r="L265" s="1">
        <v>14</v>
      </c>
      <c r="M265" s="1">
        <v>24.242000000000001</v>
      </c>
      <c r="N265" s="1">
        <v>12</v>
      </c>
      <c r="O265" s="1">
        <v>1430</v>
      </c>
      <c r="P265" s="1">
        <v>73.100099999999998</v>
      </c>
      <c r="Q265" s="1">
        <v>34.798000000000002</v>
      </c>
      <c r="R265" s="5">
        <v>2.1296296296296298E-3</v>
      </c>
      <c r="S265" s="1">
        <v>15164</v>
      </c>
      <c r="T265" s="6">
        <v>6.05</v>
      </c>
      <c r="U265" s="1" t="str">
        <f>IF(ISNUMBER(SEARCH("Vande Bharat",Table1[[#This Row],[Video title]])),"Vande Bharat","Other")</f>
        <v>Other</v>
      </c>
    </row>
    <row r="266" spans="1:21" x14ac:dyDescent="0.3">
      <c r="A266" s="4" t="s">
        <v>552</v>
      </c>
      <c r="B266" s="1" t="s">
        <v>553</v>
      </c>
      <c r="C266" s="7">
        <v>45610</v>
      </c>
      <c r="D266" s="1">
        <v>8</v>
      </c>
      <c r="E266" s="1">
        <v>128.65</v>
      </c>
      <c r="F266" s="1">
        <v>3</v>
      </c>
      <c r="G266" s="1">
        <v>0</v>
      </c>
      <c r="H266" s="1">
        <v>22</v>
      </c>
      <c r="I266" s="1">
        <v>2</v>
      </c>
      <c r="J266" s="1">
        <v>91.67</v>
      </c>
      <c r="K266" s="1">
        <v>11</v>
      </c>
      <c r="L266" s="1">
        <v>1</v>
      </c>
      <c r="M266" s="1">
        <v>1.417</v>
      </c>
      <c r="N266" s="1">
        <v>84</v>
      </c>
      <c r="O266" s="1">
        <v>2460</v>
      </c>
      <c r="P266" s="1">
        <v>3.9866999999999999</v>
      </c>
      <c r="Q266" s="1">
        <v>1.8879999999999999</v>
      </c>
      <c r="R266" s="5">
        <v>1.1574074074074075E-4</v>
      </c>
      <c r="S266" s="1">
        <v>6471</v>
      </c>
      <c r="T266" s="6">
        <v>5.0199999999999996</v>
      </c>
      <c r="U266" s="1" t="str">
        <f>IF(ISNUMBER(SEARCH("Vande Bharat",Table1[[#This Row],[Video title]])),"Vande Bharat","Other")</f>
        <v>Other</v>
      </c>
    </row>
    <row r="267" spans="1:21" x14ac:dyDescent="0.3">
      <c r="A267" s="4" t="s">
        <v>554</v>
      </c>
      <c r="B267" s="1" t="s">
        <v>555</v>
      </c>
      <c r="C267" s="7">
        <v>45034</v>
      </c>
      <c r="D267" s="1">
        <v>2914</v>
      </c>
      <c r="E267" s="1">
        <v>6.9</v>
      </c>
      <c r="F267" s="1">
        <v>5</v>
      </c>
      <c r="G267" s="1">
        <v>0</v>
      </c>
      <c r="H267" s="1">
        <v>28</v>
      </c>
      <c r="I267" s="1">
        <v>0</v>
      </c>
      <c r="J267" s="1">
        <v>100</v>
      </c>
      <c r="K267" s="1">
        <v>9</v>
      </c>
      <c r="L267" s="1">
        <v>9</v>
      </c>
      <c r="M267" s="1">
        <v>27.84</v>
      </c>
      <c r="N267" s="1">
        <v>28</v>
      </c>
      <c r="O267" s="1">
        <v>1469</v>
      </c>
      <c r="P267" s="1">
        <v>82.066599999999994</v>
      </c>
      <c r="Q267" s="1">
        <v>40.838999999999999</v>
      </c>
      <c r="R267" s="5">
        <v>2.3263888888888887E-3</v>
      </c>
      <c r="S267" s="1">
        <v>12587</v>
      </c>
      <c r="T267" s="6">
        <v>9.7899999999999991</v>
      </c>
      <c r="U267" s="1" t="str">
        <f>IF(ISNUMBER(SEARCH("Vande Bharat",Table1[[#This Row],[Video title]])),"Vande Bharat","Other")</f>
        <v>Other</v>
      </c>
    </row>
    <row r="268" spans="1:21" x14ac:dyDescent="0.3">
      <c r="A268" s="4" t="s">
        <v>556</v>
      </c>
      <c r="B268" s="1" t="s">
        <v>557</v>
      </c>
      <c r="C268" s="7">
        <v>44299</v>
      </c>
      <c r="D268" s="1">
        <v>361</v>
      </c>
      <c r="E268" s="1">
        <v>30.1</v>
      </c>
      <c r="F268" s="1">
        <v>9</v>
      </c>
      <c r="G268" s="1">
        <v>2</v>
      </c>
      <c r="H268" s="1">
        <v>53</v>
      </c>
      <c r="I268" s="1">
        <v>2</v>
      </c>
      <c r="J268" s="1">
        <v>96.36</v>
      </c>
      <c r="K268" s="1">
        <v>3</v>
      </c>
      <c r="L268" s="1">
        <v>14</v>
      </c>
      <c r="M268" s="1">
        <v>0.48399999999999999</v>
      </c>
      <c r="N268" s="1">
        <v>18</v>
      </c>
      <c r="O268" s="1">
        <v>1253</v>
      </c>
      <c r="P268" s="1">
        <v>37.8187</v>
      </c>
      <c r="Q268" s="1">
        <v>0.60599999999999998</v>
      </c>
      <c r="R268" s="5">
        <v>1.25E-3</v>
      </c>
      <c r="S268" s="1">
        <v>18281</v>
      </c>
      <c r="T268" s="6">
        <v>4.84</v>
      </c>
      <c r="U268" s="1" t="str">
        <f>IF(ISNUMBER(SEARCH("Vande Bharat",Table1[[#This Row],[Video title]])),"Vande Bharat","Other")</f>
        <v>Other</v>
      </c>
    </row>
    <row r="269" spans="1:21" x14ac:dyDescent="0.3">
      <c r="A269" s="4" t="s">
        <v>558</v>
      </c>
      <c r="B269" s="1" t="s">
        <v>559</v>
      </c>
      <c r="C269" s="7">
        <v>44387</v>
      </c>
      <c r="D269" s="1">
        <v>125</v>
      </c>
      <c r="E269" s="1">
        <v>43.57</v>
      </c>
      <c r="F269" s="1">
        <v>4</v>
      </c>
      <c r="G269" s="1">
        <v>1</v>
      </c>
      <c r="H269" s="1">
        <v>51</v>
      </c>
      <c r="I269" s="1">
        <v>2</v>
      </c>
      <c r="J269" s="1">
        <v>96.23</v>
      </c>
      <c r="K269" s="1">
        <v>1</v>
      </c>
      <c r="L269" s="1">
        <v>10</v>
      </c>
      <c r="M269" s="1">
        <v>16.079000000000001</v>
      </c>
      <c r="N269" s="1">
        <v>23</v>
      </c>
      <c r="O269" s="1">
        <v>1296</v>
      </c>
      <c r="P269" s="1">
        <v>19.606300000000001</v>
      </c>
      <c r="Q269" s="1">
        <v>20.838000000000001</v>
      </c>
      <c r="R269" s="5">
        <v>6.2500000000000001E-4</v>
      </c>
      <c r="S269" s="1">
        <v>8644</v>
      </c>
      <c r="T269" s="6">
        <v>11.28</v>
      </c>
      <c r="U269" s="1" t="str">
        <f>IF(ISNUMBER(SEARCH("Vande Bharat",Table1[[#This Row],[Video title]])),"Vande Bharat","Other")</f>
        <v>Other</v>
      </c>
    </row>
    <row r="270" spans="1:21" x14ac:dyDescent="0.3">
      <c r="A270" s="4" t="s">
        <v>560</v>
      </c>
      <c r="B270" s="1" t="s">
        <v>561</v>
      </c>
      <c r="C270" s="7">
        <v>44384</v>
      </c>
      <c r="D270" s="1">
        <v>258</v>
      </c>
      <c r="E270" s="1">
        <v>34.06</v>
      </c>
      <c r="F270" s="1">
        <v>5</v>
      </c>
      <c r="G270" s="1">
        <v>0</v>
      </c>
      <c r="H270" s="1">
        <v>54</v>
      </c>
      <c r="I270" s="1">
        <v>4</v>
      </c>
      <c r="J270" s="1">
        <v>93.1</v>
      </c>
      <c r="K270" s="1">
        <v>1</v>
      </c>
      <c r="L270" s="1">
        <v>17</v>
      </c>
      <c r="M270" s="1">
        <v>18.952999999999999</v>
      </c>
      <c r="N270" s="1">
        <v>17</v>
      </c>
      <c r="O270" s="1">
        <v>1293</v>
      </c>
      <c r="P270" s="1">
        <v>31.5624</v>
      </c>
      <c r="Q270" s="1">
        <v>24.506</v>
      </c>
      <c r="R270" s="5">
        <v>1.0069444444444444E-3</v>
      </c>
      <c r="S270" s="1">
        <v>11415</v>
      </c>
      <c r="T270" s="6">
        <v>8.57</v>
      </c>
      <c r="U270" s="1" t="str">
        <f>IF(ISNUMBER(SEARCH("Vande Bharat",Table1[[#This Row],[Video title]])),"Vande Bharat","Other")</f>
        <v>Other</v>
      </c>
    </row>
    <row r="271" spans="1:21" x14ac:dyDescent="0.3">
      <c r="A271" s="4" t="s">
        <v>562</v>
      </c>
      <c r="B271" s="1" t="s">
        <v>563</v>
      </c>
      <c r="C271" s="7">
        <v>44315</v>
      </c>
      <c r="D271" s="1">
        <v>15</v>
      </c>
      <c r="E271" s="1">
        <v>78.25</v>
      </c>
      <c r="F271" s="1">
        <v>3</v>
      </c>
      <c r="G271" s="1">
        <v>1</v>
      </c>
      <c r="H271" s="1">
        <v>70</v>
      </c>
      <c r="I271" s="1">
        <v>2</v>
      </c>
      <c r="J271" s="1">
        <v>97.22</v>
      </c>
      <c r="K271" s="1">
        <v>2</v>
      </c>
      <c r="L271" s="1">
        <v>3</v>
      </c>
      <c r="M271" s="1">
        <v>0.126</v>
      </c>
      <c r="N271" s="1">
        <v>19</v>
      </c>
      <c r="O271" s="1">
        <v>1368</v>
      </c>
      <c r="P271" s="1">
        <v>4.3018999999999998</v>
      </c>
      <c r="Q271" s="1">
        <v>0.16600000000000001</v>
      </c>
      <c r="R271" s="5">
        <v>1.273148148148148E-4</v>
      </c>
      <c r="S271" s="1">
        <v>12996</v>
      </c>
      <c r="T271" s="6">
        <v>3.54</v>
      </c>
      <c r="U271" s="1" t="str">
        <f>IF(ISNUMBER(SEARCH("Vande Bharat",Table1[[#This Row],[Video title]])),"Vande Bharat","Other")</f>
        <v>Other</v>
      </c>
    </row>
    <row r="272" spans="1:21" x14ac:dyDescent="0.3">
      <c r="A272" s="4" t="s">
        <v>564</v>
      </c>
      <c r="B272" s="1" t="s">
        <v>565</v>
      </c>
      <c r="C272" s="7">
        <v>44380</v>
      </c>
      <c r="D272" s="1">
        <v>133</v>
      </c>
      <c r="E272" s="1">
        <v>44.65</v>
      </c>
      <c r="F272" s="1">
        <v>2</v>
      </c>
      <c r="G272" s="1">
        <v>1</v>
      </c>
      <c r="H272" s="1">
        <v>63</v>
      </c>
      <c r="I272" s="1">
        <v>4</v>
      </c>
      <c r="J272" s="1">
        <v>94.03</v>
      </c>
      <c r="K272" s="1">
        <v>4</v>
      </c>
      <c r="L272" s="1">
        <v>12</v>
      </c>
      <c r="M272" s="1">
        <v>18.312999999999999</v>
      </c>
      <c r="N272" s="1">
        <v>24</v>
      </c>
      <c r="O272" s="1">
        <v>1263</v>
      </c>
      <c r="P272" s="1">
        <v>20.8339</v>
      </c>
      <c r="Q272" s="1">
        <v>23.094000000000001</v>
      </c>
      <c r="R272" s="5">
        <v>6.8287037037037036E-4</v>
      </c>
      <c r="S272" s="1">
        <v>9610</v>
      </c>
      <c r="T272" s="6">
        <v>9.52</v>
      </c>
      <c r="U272" s="1" t="str">
        <f>IF(ISNUMBER(SEARCH("Vande Bharat",Table1[[#This Row],[Video title]])),"Vande Bharat","Other")</f>
        <v>Other</v>
      </c>
    </row>
    <row r="273" spans="1:21" x14ac:dyDescent="0.3">
      <c r="A273" s="4" t="s">
        <v>566</v>
      </c>
      <c r="B273" s="1" t="s">
        <v>567</v>
      </c>
      <c r="C273" s="7">
        <v>45299</v>
      </c>
      <c r="D273" s="1">
        <v>50</v>
      </c>
      <c r="E273" s="1">
        <v>52.8</v>
      </c>
      <c r="F273" s="1">
        <v>0</v>
      </c>
      <c r="G273" s="1">
        <v>0</v>
      </c>
      <c r="H273" s="1">
        <v>16</v>
      </c>
      <c r="I273" s="1">
        <v>1</v>
      </c>
      <c r="J273" s="1">
        <v>94.12</v>
      </c>
      <c r="K273" s="1">
        <v>1</v>
      </c>
      <c r="L273" s="1">
        <v>4</v>
      </c>
      <c r="M273" s="1">
        <v>22.783999999999999</v>
      </c>
      <c r="N273" s="1">
        <v>46</v>
      </c>
      <c r="O273" s="1">
        <v>1314</v>
      </c>
      <c r="P273" s="1">
        <v>9.6356999999999999</v>
      </c>
      <c r="Q273" s="1">
        <v>29.757999999999999</v>
      </c>
      <c r="R273" s="5">
        <v>3.0092592592592595E-4</v>
      </c>
      <c r="S273" s="1">
        <v>8881</v>
      </c>
      <c r="T273" s="6">
        <v>11.6</v>
      </c>
      <c r="U273" s="1" t="str">
        <f>IF(ISNUMBER(SEARCH("Vande Bharat",Table1[[#This Row],[Video title]])),"Vande Bharat","Other")</f>
        <v>Other</v>
      </c>
    </row>
    <row r="274" spans="1:21" x14ac:dyDescent="0.3">
      <c r="A274" s="4" t="s">
        <v>568</v>
      </c>
      <c r="B274" s="1" t="s">
        <v>569</v>
      </c>
      <c r="C274" s="7">
        <v>43569</v>
      </c>
      <c r="D274" s="1">
        <v>148</v>
      </c>
      <c r="E274" s="1">
        <v>30.97</v>
      </c>
      <c r="F274" s="1">
        <v>5</v>
      </c>
      <c r="G274" s="1">
        <v>1</v>
      </c>
      <c r="H274" s="1">
        <v>15</v>
      </c>
      <c r="I274" s="1">
        <v>0</v>
      </c>
      <c r="J274" s="1">
        <v>100</v>
      </c>
      <c r="K274" s="1">
        <v>1</v>
      </c>
      <c r="L274" s="1">
        <v>1</v>
      </c>
      <c r="M274" s="1">
        <v>1.8320000000000001</v>
      </c>
      <c r="N274" s="1">
        <v>12</v>
      </c>
      <c r="O274" s="1">
        <v>1309</v>
      </c>
      <c r="P274" s="1">
        <v>16.667899999999999</v>
      </c>
      <c r="Q274" s="1">
        <v>2.3980000000000001</v>
      </c>
      <c r="R274" s="5">
        <v>5.2083333333333333E-4</v>
      </c>
      <c r="S274" s="1">
        <v>14527</v>
      </c>
      <c r="T274" s="6">
        <v>7.78</v>
      </c>
      <c r="U274" s="1" t="str">
        <f>IF(ISNUMBER(SEARCH("Vande Bharat",Table1[[#This Row],[Video title]])),"Vande Bharat","Other")</f>
        <v>Other</v>
      </c>
    </row>
    <row r="275" spans="1:21" x14ac:dyDescent="0.3">
      <c r="A275" s="4" t="s">
        <v>570</v>
      </c>
      <c r="B275" s="1" t="s">
        <v>571</v>
      </c>
      <c r="C275" s="7">
        <v>45236</v>
      </c>
      <c r="D275" s="1">
        <v>95</v>
      </c>
      <c r="E275" s="1">
        <v>40.18</v>
      </c>
      <c r="F275" s="1">
        <v>5</v>
      </c>
      <c r="G275" s="1">
        <v>0</v>
      </c>
      <c r="H275" s="1">
        <v>31</v>
      </c>
      <c r="I275" s="1">
        <v>0</v>
      </c>
      <c r="J275" s="1">
        <v>100</v>
      </c>
      <c r="K275" s="1">
        <v>3</v>
      </c>
      <c r="L275" s="1">
        <v>4</v>
      </c>
      <c r="M275" s="1">
        <v>16.256</v>
      </c>
      <c r="N275" s="1">
        <v>19</v>
      </c>
      <c r="O275" s="1">
        <v>1252</v>
      </c>
      <c r="P275" s="1">
        <v>13.2744</v>
      </c>
      <c r="Q275" s="1">
        <v>20.352</v>
      </c>
      <c r="R275" s="5">
        <v>4.3981481481481481E-4</v>
      </c>
      <c r="S275" s="1">
        <v>11921</v>
      </c>
      <c r="T275" s="6">
        <v>8.52</v>
      </c>
      <c r="U275" s="1" t="str">
        <f>IF(ISNUMBER(SEARCH("Vande Bharat",Table1[[#This Row],[Video title]])),"Vande Bharat","Other")</f>
        <v>Other</v>
      </c>
    </row>
    <row r="276" spans="1:21" x14ac:dyDescent="0.3">
      <c r="A276" s="4" t="s">
        <v>723</v>
      </c>
      <c r="B276" s="1" t="s">
        <v>497</v>
      </c>
      <c r="C276" s="7">
        <v>45291</v>
      </c>
      <c r="D276" s="1">
        <v>2009</v>
      </c>
      <c r="E276" s="1">
        <v>4.9800000000000004</v>
      </c>
      <c r="F276" s="1">
        <v>3</v>
      </c>
      <c r="G276" s="1">
        <v>0</v>
      </c>
      <c r="H276" s="1">
        <v>21</v>
      </c>
      <c r="I276" s="1">
        <v>3</v>
      </c>
      <c r="J276" s="1">
        <v>87.5</v>
      </c>
      <c r="K276" s="1">
        <v>7</v>
      </c>
      <c r="L276" s="1">
        <v>5</v>
      </c>
      <c r="M276" s="1">
        <v>20.832000000000001</v>
      </c>
      <c r="N276" s="1">
        <v>16</v>
      </c>
      <c r="O276" s="1">
        <v>938</v>
      </c>
      <c r="P276" s="1">
        <v>26.044799999999999</v>
      </c>
      <c r="Q276" s="1">
        <v>19.54</v>
      </c>
      <c r="R276" s="5">
        <v>1.1458333333333333E-3</v>
      </c>
      <c r="S276" s="1">
        <v>12845</v>
      </c>
      <c r="T276" s="6">
        <v>6.66</v>
      </c>
      <c r="U276" s="1" t="str">
        <f>IF(ISNUMBER(SEARCH("Vande Bharat",Table1[[#This Row],[Video title]])),"Vande Bharat","Other")</f>
        <v>Vande Bharat</v>
      </c>
    </row>
    <row r="277" spans="1:21" x14ac:dyDescent="0.3">
      <c r="A277" s="4" t="s">
        <v>574</v>
      </c>
      <c r="B277" s="1" t="s">
        <v>575</v>
      </c>
      <c r="C277" s="7">
        <v>44677</v>
      </c>
      <c r="D277" s="1">
        <v>78</v>
      </c>
      <c r="E277" s="1">
        <v>39.96</v>
      </c>
      <c r="F277" s="1">
        <v>0</v>
      </c>
      <c r="G277" s="1">
        <v>0</v>
      </c>
      <c r="H277" s="1">
        <v>25</v>
      </c>
      <c r="I277" s="1">
        <v>1</v>
      </c>
      <c r="J277" s="1">
        <v>96.15</v>
      </c>
      <c r="K277" s="1">
        <v>0</v>
      </c>
      <c r="L277" s="1">
        <v>6</v>
      </c>
      <c r="M277" s="1">
        <v>19.896000000000001</v>
      </c>
      <c r="N277" s="1">
        <v>11</v>
      </c>
      <c r="O277" s="1">
        <v>1149</v>
      </c>
      <c r="P277" s="1">
        <v>9.9472000000000005</v>
      </c>
      <c r="Q277" s="1">
        <v>22.86</v>
      </c>
      <c r="R277" s="5">
        <v>3.5879629629629629E-4</v>
      </c>
      <c r="S277" s="1">
        <v>18702</v>
      </c>
      <c r="T277" s="6">
        <v>5.38</v>
      </c>
      <c r="U277" s="1" t="str">
        <f>IF(ISNUMBER(SEARCH("Vande Bharat",Table1[[#This Row],[Video title]])),"Vande Bharat","Other")</f>
        <v>Other</v>
      </c>
    </row>
    <row r="278" spans="1:21" x14ac:dyDescent="0.3">
      <c r="A278" s="4" t="s">
        <v>50</v>
      </c>
      <c r="B278" s="1" t="s">
        <v>51</v>
      </c>
      <c r="C278" s="7">
        <v>45290</v>
      </c>
      <c r="D278" s="1">
        <v>62</v>
      </c>
      <c r="E278" s="1">
        <v>60.19</v>
      </c>
      <c r="F278" s="1">
        <v>43</v>
      </c>
      <c r="G278" s="1">
        <v>0</v>
      </c>
      <c r="H278" s="1">
        <v>116</v>
      </c>
      <c r="I278" s="1">
        <v>2</v>
      </c>
      <c r="J278" s="1">
        <v>98.31</v>
      </c>
      <c r="K278" s="1">
        <v>42</v>
      </c>
      <c r="L278" s="1">
        <v>11</v>
      </c>
      <c r="M278" s="1">
        <v>13.877000000000001</v>
      </c>
      <c r="N278" s="1">
        <v>162</v>
      </c>
      <c r="O278" s="1">
        <v>16235</v>
      </c>
      <c r="P278" s="1">
        <v>168.28989999999999</v>
      </c>
      <c r="Q278" s="1">
        <v>225.28800000000001</v>
      </c>
      <c r="R278" s="5">
        <v>4.2824074074074075E-4</v>
      </c>
      <c r="S278" s="1">
        <v>111360</v>
      </c>
      <c r="T278" s="6">
        <v>13.4</v>
      </c>
      <c r="U278" s="1" t="str">
        <f>IF(ISNUMBER(SEARCH("Vande Bharat",Table1[[#This Row],[Video title]])),"Vande Bharat","Other")</f>
        <v>Vande Bharat</v>
      </c>
    </row>
    <row r="279" spans="1:21" x14ac:dyDescent="0.3">
      <c r="A279" s="4" t="s">
        <v>578</v>
      </c>
      <c r="B279" s="1" t="s">
        <v>579</v>
      </c>
      <c r="C279" s="7">
        <v>46035</v>
      </c>
      <c r="D279" s="1">
        <v>18</v>
      </c>
      <c r="E279" s="1">
        <v>73.55</v>
      </c>
      <c r="F279" s="1">
        <v>1</v>
      </c>
      <c r="G279" s="1">
        <v>0</v>
      </c>
      <c r="H279" s="1">
        <v>32</v>
      </c>
      <c r="I279" s="1">
        <v>1</v>
      </c>
      <c r="J279" s="1">
        <v>96.97</v>
      </c>
      <c r="K279" s="1">
        <v>0</v>
      </c>
      <c r="L279" s="1">
        <v>1</v>
      </c>
      <c r="M279" s="1">
        <v>0.80200000000000005</v>
      </c>
      <c r="N279" s="1">
        <v>77</v>
      </c>
      <c r="O279" s="1">
        <v>3176</v>
      </c>
      <c r="P279" s="1">
        <v>4.7840999999999996</v>
      </c>
      <c r="Q279" s="1">
        <v>0.89900000000000002</v>
      </c>
      <c r="R279" s="5">
        <v>1.5046296296296297E-4</v>
      </c>
      <c r="S279" s="1">
        <v>1946</v>
      </c>
      <c r="T279" s="6">
        <v>4.68</v>
      </c>
      <c r="U279" s="1" t="str">
        <f>IF(ISNUMBER(SEARCH("Vande Bharat",Table1[[#This Row],[Video title]])),"Vande Bharat","Other")</f>
        <v>Other</v>
      </c>
    </row>
    <row r="280" spans="1:21" x14ac:dyDescent="0.3">
      <c r="A280" s="4" t="s">
        <v>580</v>
      </c>
      <c r="B280" s="1" t="s">
        <v>581</v>
      </c>
      <c r="C280" s="7">
        <v>44410</v>
      </c>
      <c r="D280" s="1">
        <v>524</v>
      </c>
      <c r="E280" s="1">
        <v>21.12</v>
      </c>
      <c r="F280" s="1">
        <v>3</v>
      </c>
      <c r="G280" s="1">
        <v>0</v>
      </c>
      <c r="H280" s="1">
        <v>44</v>
      </c>
      <c r="I280" s="1">
        <v>2</v>
      </c>
      <c r="J280" s="1">
        <v>95.65</v>
      </c>
      <c r="K280" s="1">
        <v>1</v>
      </c>
      <c r="L280" s="1">
        <v>12</v>
      </c>
      <c r="M280" s="1">
        <v>33.972000000000001</v>
      </c>
      <c r="N280" s="1">
        <v>20</v>
      </c>
      <c r="O280" s="1">
        <v>1300</v>
      </c>
      <c r="P280" s="1">
        <v>39.964599999999997</v>
      </c>
      <c r="Q280" s="1">
        <v>44.164000000000001</v>
      </c>
      <c r="R280" s="5">
        <v>1.2731481481481483E-3</v>
      </c>
      <c r="S280" s="1">
        <v>11138</v>
      </c>
      <c r="T280" s="6">
        <v>7.43</v>
      </c>
      <c r="U280" s="1" t="str">
        <f>IF(ISNUMBER(SEARCH("Vande Bharat",Table1[[#This Row],[Video title]])),"Vande Bharat","Other")</f>
        <v>Other</v>
      </c>
    </row>
    <row r="281" spans="1:21" x14ac:dyDescent="0.3">
      <c r="A281" s="4" t="s">
        <v>582</v>
      </c>
      <c r="B281" s="1" t="s">
        <v>583</v>
      </c>
      <c r="C281" s="7">
        <v>44288</v>
      </c>
      <c r="D281" s="1">
        <v>256</v>
      </c>
      <c r="E281" s="1">
        <v>34.43</v>
      </c>
      <c r="F281" s="1">
        <v>3</v>
      </c>
      <c r="G281" s="1">
        <v>1</v>
      </c>
      <c r="H281" s="1">
        <v>56</v>
      </c>
      <c r="I281" s="1">
        <v>2</v>
      </c>
      <c r="J281" s="1">
        <v>96.55</v>
      </c>
      <c r="K281" s="1">
        <v>4</v>
      </c>
      <c r="L281" s="1">
        <v>15</v>
      </c>
      <c r="M281" s="1">
        <v>4.6740000000000004</v>
      </c>
      <c r="N281" s="1">
        <v>14</v>
      </c>
      <c r="O281" s="1">
        <v>1256</v>
      </c>
      <c r="P281" s="1">
        <v>30.753900000000002</v>
      </c>
      <c r="Q281" s="1">
        <v>5.87</v>
      </c>
      <c r="R281" s="5">
        <v>1.0185185185185184E-3</v>
      </c>
      <c r="S281" s="1">
        <v>14065</v>
      </c>
      <c r="T281" s="6">
        <v>6.37</v>
      </c>
      <c r="U281" s="1" t="str">
        <f>IF(ISNUMBER(SEARCH("Vande Bharat",Table1[[#This Row],[Video title]])),"Vande Bharat","Other")</f>
        <v>Other</v>
      </c>
    </row>
    <row r="282" spans="1:21" x14ac:dyDescent="0.3">
      <c r="A282" s="4" t="s">
        <v>584</v>
      </c>
      <c r="B282" s="1" t="s">
        <v>585</v>
      </c>
      <c r="C282" s="7">
        <v>44234</v>
      </c>
      <c r="D282" s="1">
        <v>16</v>
      </c>
      <c r="E282" s="1">
        <v>79.44</v>
      </c>
      <c r="F282" s="1">
        <v>3</v>
      </c>
      <c r="G282" s="1">
        <v>1</v>
      </c>
      <c r="H282" s="1">
        <v>109</v>
      </c>
      <c r="I282" s="1">
        <v>2</v>
      </c>
      <c r="J282" s="1">
        <v>98.2</v>
      </c>
      <c r="K282" s="1">
        <v>51</v>
      </c>
      <c r="L282" s="1">
        <v>3</v>
      </c>
      <c r="M282" s="1">
        <v>0.26400000000000001</v>
      </c>
      <c r="N282" s="1">
        <v>21</v>
      </c>
      <c r="O282" s="1">
        <v>1646</v>
      </c>
      <c r="P282" s="1">
        <v>4.7169999999999996</v>
      </c>
      <c r="Q282" s="1">
        <v>0.34599999999999997</v>
      </c>
      <c r="R282" s="5">
        <v>1.3888888888888889E-4</v>
      </c>
      <c r="S282" s="1">
        <v>27401</v>
      </c>
      <c r="T282" s="6">
        <v>2.38</v>
      </c>
      <c r="U282" s="1" t="str">
        <f>IF(ISNUMBER(SEARCH("Vande Bharat",Table1[[#This Row],[Video title]])),"Vande Bharat","Other")</f>
        <v>Other</v>
      </c>
    </row>
    <row r="283" spans="1:21" x14ac:dyDescent="0.3">
      <c r="A283" s="4" t="s">
        <v>586</v>
      </c>
      <c r="B283" s="1" t="s">
        <v>587</v>
      </c>
      <c r="C283" s="7">
        <v>45578</v>
      </c>
      <c r="D283" s="1">
        <v>18</v>
      </c>
      <c r="E283" s="1">
        <v>62.64</v>
      </c>
      <c r="F283" s="1">
        <v>1</v>
      </c>
      <c r="G283" s="1">
        <v>0</v>
      </c>
      <c r="H283" s="1">
        <v>17</v>
      </c>
      <c r="I283" s="1">
        <v>0</v>
      </c>
      <c r="J283" s="1">
        <v>100</v>
      </c>
      <c r="K283" s="1">
        <v>0</v>
      </c>
      <c r="L283" s="1">
        <v>0</v>
      </c>
      <c r="M283" s="1">
        <v>1.7090000000000001</v>
      </c>
      <c r="N283" s="1">
        <v>94</v>
      </c>
      <c r="O283" s="1">
        <v>1577</v>
      </c>
      <c r="P283" s="1">
        <v>3.8096000000000001</v>
      </c>
      <c r="Q283" s="1">
        <v>1.978</v>
      </c>
      <c r="R283" s="5">
        <v>1.273148148148148E-4</v>
      </c>
      <c r="S283" s="1">
        <v>5832</v>
      </c>
      <c r="T283" s="6">
        <v>6.21</v>
      </c>
      <c r="U283" s="1" t="str">
        <f>IF(ISNUMBER(SEARCH("Vande Bharat",Table1[[#This Row],[Video title]])),"Vande Bharat","Other")</f>
        <v>Other</v>
      </c>
    </row>
    <row r="284" spans="1:21" x14ac:dyDescent="0.3">
      <c r="A284" s="4" t="s">
        <v>588</v>
      </c>
      <c r="B284" s="1" t="s">
        <v>589</v>
      </c>
      <c r="C284" s="7">
        <v>46031</v>
      </c>
      <c r="D284" s="1">
        <v>46</v>
      </c>
      <c r="E284" s="1">
        <v>48.57</v>
      </c>
      <c r="F284" s="1">
        <v>1</v>
      </c>
      <c r="G284" s="1">
        <v>0</v>
      </c>
      <c r="H284" s="1">
        <v>52</v>
      </c>
      <c r="I284" s="1">
        <v>3</v>
      </c>
      <c r="J284" s="1">
        <v>94.55</v>
      </c>
      <c r="K284" s="1">
        <v>3</v>
      </c>
      <c r="L284" s="1">
        <v>2</v>
      </c>
      <c r="M284" s="1">
        <v>0.90500000000000003</v>
      </c>
      <c r="N284" s="1">
        <v>90</v>
      </c>
      <c r="O284" s="1">
        <v>3133</v>
      </c>
      <c r="P284" s="1">
        <v>7.8301999999999996</v>
      </c>
      <c r="Q284" s="1">
        <v>1.0609999999999999</v>
      </c>
      <c r="R284" s="5">
        <v>2.5462962962962961E-4</v>
      </c>
      <c r="S284" s="1">
        <v>3264</v>
      </c>
      <c r="T284" s="6">
        <v>5.94</v>
      </c>
      <c r="U284" s="1" t="str">
        <f>IF(ISNUMBER(SEARCH("Vande Bharat",Table1[[#This Row],[Video title]])),"Vande Bharat","Other")</f>
        <v>Other</v>
      </c>
    </row>
    <row r="285" spans="1:21" x14ac:dyDescent="0.3">
      <c r="A285" s="4" t="s">
        <v>590</v>
      </c>
      <c r="B285" s="1" t="s">
        <v>591</v>
      </c>
      <c r="C285" s="7">
        <v>44436</v>
      </c>
      <c r="D285" s="1">
        <v>150</v>
      </c>
      <c r="E285" s="1">
        <v>31.47</v>
      </c>
      <c r="F285" s="1">
        <v>2</v>
      </c>
      <c r="G285" s="1">
        <v>2</v>
      </c>
      <c r="H285" s="1">
        <v>37</v>
      </c>
      <c r="I285" s="1">
        <v>4</v>
      </c>
      <c r="J285" s="1">
        <v>90.24</v>
      </c>
      <c r="K285" s="1">
        <v>2</v>
      </c>
      <c r="L285" s="1">
        <v>10</v>
      </c>
      <c r="M285" s="1">
        <v>15.282999999999999</v>
      </c>
      <c r="N285" s="1">
        <v>26</v>
      </c>
      <c r="O285" s="1">
        <v>1435</v>
      </c>
      <c r="P285" s="1">
        <v>18.8156</v>
      </c>
      <c r="Q285" s="1">
        <v>21.916</v>
      </c>
      <c r="R285" s="5">
        <v>5.4398148148148144E-4</v>
      </c>
      <c r="S285" s="1">
        <v>8247</v>
      </c>
      <c r="T285" s="6">
        <v>10.14</v>
      </c>
      <c r="U285" s="1" t="str">
        <f>IF(ISNUMBER(SEARCH("Vande Bharat",Table1[[#This Row],[Video title]])),"Vande Bharat","Other")</f>
        <v>Other</v>
      </c>
    </row>
    <row r="286" spans="1:21" x14ac:dyDescent="0.3">
      <c r="A286" s="4" t="s">
        <v>592</v>
      </c>
      <c r="B286" s="1" t="s">
        <v>593</v>
      </c>
      <c r="C286" s="7">
        <v>44235</v>
      </c>
      <c r="D286" s="1">
        <v>307</v>
      </c>
      <c r="E286" s="1">
        <v>37.07</v>
      </c>
      <c r="F286" s="1">
        <v>8</v>
      </c>
      <c r="G286" s="1">
        <v>1</v>
      </c>
      <c r="H286" s="1">
        <v>54</v>
      </c>
      <c r="I286" s="1">
        <v>2</v>
      </c>
      <c r="J286" s="1">
        <v>96.43</v>
      </c>
      <c r="K286" s="1">
        <v>4</v>
      </c>
      <c r="L286" s="1">
        <v>23</v>
      </c>
      <c r="M286" s="1">
        <v>1.131</v>
      </c>
      <c r="N286" s="1">
        <v>9</v>
      </c>
      <c r="O286" s="1">
        <v>1225</v>
      </c>
      <c r="P286" s="1">
        <v>38.723399999999998</v>
      </c>
      <c r="Q286" s="1">
        <v>1.3859999999999999</v>
      </c>
      <c r="R286" s="5">
        <v>1.3078703703703703E-3</v>
      </c>
      <c r="S286" s="1">
        <v>14212</v>
      </c>
      <c r="T286" s="6">
        <v>6.16</v>
      </c>
      <c r="U286" s="1" t="str">
        <f>IF(ISNUMBER(SEARCH("Vande Bharat",Table1[[#This Row],[Video title]])),"Vande Bharat","Other")</f>
        <v>Other</v>
      </c>
    </row>
    <row r="287" spans="1:21" x14ac:dyDescent="0.3">
      <c r="A287" s="4" t="s">
        <v>33</v>
      </c>
      <c r="B287" s="1" t="s">
        <v>34</v>
      </c>
      <c r="C287" s="7">
        <v>45227</v>
      </c>
      <c r="D287" s="1">
        <v>322</v>
      </c>
      <c r="E287" s="1">
        <v>27.26</v>
      </c>
      <c r="F287" s="1">
        <v>88</v>
      </c>
      <c r="G287" s="1">
        <v>3</v>
      </c>
      <c r="H287" s="1">
        <v>381</v>
      </c>
      <c r="I287" s="1">
        <v>6</v>
      </c>
      <c r="J287" s="1">
        <v>98.45</v>
      </c>
      <c r="K287" s="1">
        <v>70</v>
      </c>
      <c r="L287" s="1">
        <v>37</v>
      </c>
      <c r="M287" s="1">
        <v>20.702999999999999</v>
      </c>
      <c r="N287" s="1">
        <v>1162</v>
      </c>
      <c r="O287" s="1">
        <v>32148</v>
      </c>
      <c r="P287" s="1">
        <v>783.98350000000005</v>
      </c>
      <c r="Q287" s="1">
        <v>665.54600000000005</v>
      </c>
      <c r="R287" s="5">
        <v>1.0069444444444444E-3</v>
      </c>
      <c r="S287" s="1">
        <v>244537</v>
      </c>
      <c r="T287" s="6">
        <v>11.24</v>
      </c>
      <c r="U287" s="1" t="str">
        <f>IF(ISNUMBER(SEARCH("Vande Bharat",Table1[[#This Row],[Video title]])),"Vande Bharat","Other")</f>
        <v>Vande Bharat</v>
      </c>
    </row>
    <row r="288" spans="1:21" x14ac:dyDescent="0.3">
      <c r="A288" s="4" t="s">
        <v>596</v>
      </c>
      <c r="B288" s="1" t="s">
        <v>597</v>
      </c>
      <c r="C288" s="7">
        <v>45109</v>
      </c>
      <c r="D288" s="1">
        <v>2190</v>
      </c>
      <c r="E288" s="1">
        <v>5.74</v>
      </c>
      <c r="F288" s="1">
        <v>2</v>
      </c>
      <c r="G288" s="1">
        <v>0</v>
      </c>
      <c r="H288" s="1">
        <v>32</v>
      </c>
      <c r="I288" s="1">
        <v>1</v>
      </c>
      <c r="J288" s="1">
        <v>96.97</v>
      </c>
      <c r="K288" s="1">
        <v>9</v>
      </c>
      <c r="L288" s="1">
        <v>3</v>
      </c>
      <c r="M288" s="1">
        <v>27.382000000000001</v>
      </c>
      <c r="N288" s="1">
        <v>45</v>
      </c>
      <c r="O288" s="1">
        <v>1438</v>
      </c>
      <c r="P288" s="1">
        <v>50.226100000000002</v>
      </c>
      <c r="Q288" s="1">
        <v>39.209000000000003</v>
      </c>
      <c r="R288" s="5">
        <v>1.4467592592592592E-3</v>
      </c>
      <c r="S288" s="1">
        <v>16898</v>
      </c>
      <c r="T288" s="6">
        <v>6.8</v>
      </c>
      <c r="U288" s="1" t="str">
        <f>IF(ISNUMBER(SEARCH("Vande Bharat",Table1[[#This Row],[Video title]])),"Vande Bharat","Other")</f>
        <v>Other</v>
      </c>
    </row>
    <row r="289" spans="1:21" x14ac:dyDescent="0.3">
      <c r="A289" s="4" t="s">
        <v>598</v>
      </c>
      <c r="B289" s="1" t="s">
        <v>599</v>
      </c>
      <c r="C289" s="7">
        <v>44406</v>
      </c>
      <c r="D289" s="1">
        <v>239</v>
      </c>
      <c r="E289" s="1">
        <v>33.380000000000003</v>
      </c>
      <c r="F289" s="1">
        <v>1</v>
      </c>
      <c r="G289" s="1">
        <v>0</v>
      </c>
      <c r="H289" s="1">
        <v>44</v>
      </c>
      <c r="I289" s="1">
        <v>0</v>
      </c>
      <c r="J289" s="1">
        <v>100</v>
      </c>
      <c r="K289" s="1">
        <v>1</v>
      </c>
      <c r="L289" s="1">
        <v>11</v>
      </c>
      <c r="M289" s="1">
        <v>15.882</v>
      </c>
      <c r="N289" s="1">
        <v>16</v>
      </c>
      <c r="O289" s="1">
        <v>1174</v>
      </c>
      <c r="P289" s="1">
        <v>26.019100000000002</v>
      </c>
      <c r="Q289" s="1">
        <v>18.646000000000001</v>
      </c>
      <c r="R289" s="5">
        <v>9.1435185185185185E-4</v>
      </c>
      <c r="S289" s="1">
        <v>10236</v>
      </c>
      <c r="T289" s="6">
        <v>8.01</v>
      </c>
      <c r="U289" s="1" t="str">
        <f>IF(ISNUMBER(SEARCH("Vande Bharat",Table1[[#This Row],[Video title]])),"Vande Bharat","Other")</f>
        <v>Other</v>
      </c>
    </row>
    <row r="290" spans="1:21" x14ac:dyDescent="0.3">
      <c r="A290" s="4" t="s">
        <v>600</v>
      </c>
      <c r="B290" s="1" t="s">
        <v>601</v>
      </c>
      <c r="C290" s="7">
        <v>44361</v>
      </c>
      <c r="D290" s="1">
        <v>510</v>
      </c>
      <c r="E290" s="1">
        <v>27.67</v>
      </c>
      <c r="F290" s="1">
        <v>1</v>
      </c>
      <c r="G290" s="1">
        <v>0</v>
      </c>
      <c r="H290" s="1">
        <v>67</v>
      </c>
      <c r="I290" s="1">
        <v>1</v>
      </c>
      <c r="J290" s="1">
        <v>98.53</v>
      </c>
      <c r="K290" s="1">
        <v>3</v>
      </c>
      <c r="L290" s="1">
        <v>33</v>
      </c>
      <c r="M290" s="1">
        <v>46.241</v>
      </c>
      <c r="N290" s="1">
        <v>30</v>
      </c>
      <c r="O290" s="1">
        <v>1218</v>
      </c>
      <c r="P290" s="1">
        <v>47.7515</v>
      </c>
      <c r="Q290" s="1">
        <v>56.322000000000003</v>
      </c>
      <c r="R290" s="5">
        <v>1.6319444444444445E-3</v>
      </c>
      <c r="S290" s="1">
        <v>15310</v>
      </c>
      <c r="T290" s="6">
        <v>5.58</v>
      </c>
      <c r="U290" s="1" t="str">
        <f>IF(ISNUMBER(SEARCH("Vande Bharat",Table1[[#This Row],[Video title]])),"Vande Bharat","Other")</f>
        <v>Other</v>
      </c>
    </row>
    <row r="291" spans="1:21" x14ac:dyDescent="0.3">
      <c r="A291" s="4" t="s">
        <v>1020</v>
      </c>
      <c r="B291" s="1" t="s">
        <v>1021</v>
      </c>
      <c r="C291" s="7">
        <v>45180</v>
      </c>
      <c r="D291" s="1">
        <v>84</v>
      </c>
      <c r="E291" s="1">
        <v>41.52</v>
      </c>
      <c r="F291" s="1">
        <v>3</v>
      </c>
      <c r="G291" s="1">
        <v>0</v>
      </c>
      <c r="H291" s="1">
        <v>14</v>
      </c>
      <c r="I291" s="1">
        <v>0</v>
      </c>
      <c r="J291" s="1">
        <v>100</v>
      </c>
      <c r="K291" s="1">
        <v>1</v>
      </c>
      <c r="L291" s="1">
        <v>1</v>
      </c>
      <c r="M291" s="1">
        <v>26.821999999999999</v>
      </c>
      <c r="N291" s="1">
        <v>12</v>
      </c>
      <c r="O291" s="1">
        <v>540</v>
      </c>
      <c r="P291" s="1">
        <v>5.2317</v>
      </c>
      <c r="Q291" s="1">
        <v>14.484</v>
      </c>
      <c r="R291" s="5">
        <v>3.9351851851851852E-4</v>
      </c>
      <c r="S291" s="1">
        <v>7177</v>
      </c>
      <c r="T291" s="6">
        <v>5.95</v>
      </c>
      <c r="U291" s="1" t="str">
        <f>IF(ISNUMBER(SEARCH("Vande Bharat",Table1[[#This Row],[Video title]])),"Vande Bharat","Other")</f>
        <v>Vande Bharat</v>
      </c>
    </row>
    <row r="292" spans="1:21" x14ac:dyDescent="0.3">
      <c r="A292" s="4" t="s">
        <v>604</v>
      </c>
      <c r="B292" s="1" t="s">
        <v>605</v>
      </c>
      <c r="C292" s="7">
        <v>44356</v>
      </c>
      <c r="D292" s="1">
        <v>84</v>
      </c>
      <c r="E292" s="1">
        <v>53.45</v>
      </c>
      <c r="F292" s="1">
        <v>7</v>
      </c>
      <c r="G292" s="1">
        <v>1</v>
      </c>
      <c r="H292" s="1">
        <v>46</v>
      </c>
      <c r="I292" s="1">
        <v>0</v>
      </c>
      <c r="J292" s="1">
        <v>100</v>
      </c>
      <c r="K292" s="1">
        <v>0</v>
      </c>
      <c r="L292" s="1">
        <v>9</v>
      </c>
      <c r="M292" s="1">
        <v>15.034000000000001</v>
      </c>
      <c r="N292" s="1">
        <v>14</v>
      </c>
      <c r="O292" s="1">
        <v>1191</v>
      </c>
      <c r="P292" s="1">
        <v>14.8531</v>
      </c>
      <c r="Q292" s="1">
        <v>17.905000000000001</v>
      </c>
      <c r="R292" s="5">
        <v>5.0925925925925921E-4</v>
      </c>
      <c r="S292" s="1">
        <v>9597</v>
      </c>
      <c r="T292" s="6">
        <v>8.77</v>
      </c>
      <c r="U292" s="1" t="str">
        <f>IF(ISNUMBER(SEARCH("Vande Bharat",Table1[[#This Row],[Video title]])),"Vande Bharat","Other")</f>
        <v>Other</v>
      </c>
    </row>
    <row r="293" spans="1:21" x14ac:dyDescent="0.3">
      <c r="A293" s="4" t="s">
        <v>606</v>
      </c>
      <c r="B293" s="1" t="s">
        <v>607</v>
      </c>
      <c r="C293" s="7">
        <v>44392</v>
      </c>
      <c r="D293" s="1">
        <v>130</v>
      </c>
      <c r="E293" s="1">
        <v>40.57</v>
      </c>
      <c r="F293" s="1">
        <v>2</v>
      </c>
      <c r="G293" s="1">
        <v>0</v>
      </c>
      <c r="H293" s="1">
        <v>49</v>
      </c>
      <c r="I293" s="1">
        <v>1</v>
      </c>
      <c r="J293" s="1">
        <v>98</v>
      </c>
      <c r="K293" s="1">
        <v>3</v>
      </c>
      <c r="L293" s="1">
        <v>13</v>
      </c>
      <c r="M293" s="1">
        <v>18.077999999999999</v>
      </c>
      <c r="N293" s="1">
        <v>12</v>
      </c>
      <c r="O293" s="1">
        <v>1161</v>
      </c>
      <c r="P293" s="1">
        <v>17.0093</v>
      </c>
      <c r="Q293" s="1">
        <v>20.988</v>
      </c>
      <c r="R293" s="5">
        <v>6.018518518518519E-4</v>
      </c>
      <c r="S293" s="1">
        <v>8694</v>
      </c>
      <c r="T293" s="6">
        <v>9.59</v>
      </c>
      <c r="U293" s="1" t="str">
        <f>IF(ISNUMBER(SEARCH("Vande Bharat",Table1[[#This Row],[Video title]])),"Vande Bharat","Other")</f>
        <v>Other</v>
      </c>
    </row>
    <row r="294" spans="1:21" x14ac:dyDescent="0.3">
      <c r="A294" s="4" t="s">
        <v>608</v>
      </c>
      <c r="B294" s="1" t="s">
        <v>609</v>
      </c>
      <c r="C294" s="7">
        <v>44650</v>
      </c>
      <c r="D294" s="1">
        <v>105</v>
      </c>
      <c r="E294" s="1">
        <v>45.46</v>
      </c>
      <c r="F294" s="1">
        <v>3</v>
      </c>
      <c r="G294" s="1">
        <v>1</v>
      </c>
      <c r="H294" s="1">
        <v>54</v>
      </c>
      <c r="I294" s="1">
        <v>0</v>
      </c>
      <c r="J294" s="1">
        <v>100</v>
      </c>
      <c r="K294" s="1">
        <v>12</v>
      </c>
      <c r="L294" s="1">
        <v>25</v>
      </c>
      <c r="M294" s="1">
        <v>25.654</v>
      </c>
      <c r="N294" s="1">
        <v>38</v>
      </c>
      <c r="O294" s="1">
        <v>1227</v>
      </c>
      <c r="P294" s="1">
        <v>16.267800000000001</v>
      </c>
      <c r="Q294" s="1">
        <v>31.478000000000002</v>
      </c>
      <c r="R294" s="5">
        <v>5.4398148148148144E-4</v>
      </c>
      <c r="S294" s="1">
        <v>6974</v>
      </c>
      <c r="T294" s="6">
        <v>10.27</v>
      </c>
      <c r="U294" s="1" t="str">
        <f>IF(ISNUMBER(SEARCH("Vande Bharat",Table1[[#This Row],[Video title]])),"Vande Bharat","Other")</f>
        <v>Other</v>
      </c>
    </row>
    <row r="295" spans="1:21" x14ac:dyDescent="0.3">
      <c r="A295" s="4" t="s">
        <v>610</v>
      </c>
      <c r="B295" s="1" t="s">
        <v>611</v>
      </c>
      <c r="C295" s="7">
        <v>44417</v>
      </c>
      <c r="D295" s="1">
        <v>244</v>
      </c>
      <c r="E295" s="1">
        <v>27.09</v>
      </c>
      <c r="F295" s="1">
        <v>4</v>
      </c>
      <c r="G295" s="1">
        <v>1</v>
      </c>
      <c r="H295" s="1">
        <v>46</v>
      </c>
      <c r="I295" s="1">
        <v>1</v>
      </c>
      <c r="J295" s="1">
        <v>97.87</v>
      </c>
      <c r="K295" s="1">
        <v>0</v>
      </c>
      <c r="L295" s="1">
        <v>7</v>
      </c>
      <c r="M295" s="1">
        <v>21.475999999999999</v>
      </c>
      <c r="N295" s="1">
        <v>9</v>
      </c>
      <c r="O295" s="1">
        <v>1234</v>
      </c>
      <c r="P295" s="1">
        <v>22.6599</v>
      </c>
      <c r="Q295" s="1">
        <v>26.501000000000001</v>
      </c>
      <c r="R295" s="5">
        <v>7.6388888888888893E-4</v>
      </c>
      <c r="S295" s="1">
        <v>10361</v>
      </c>
      <c r="T295" s="6">
        <v>8.4499999999999993</v>
      </c>
      <c r="U295" s="1" t="str">
        <f>IF(ISNUMBER(SEARCH("Vande Bharat",Table1[[#This Row],[Video title]])),"Vande Bharat","Other")</f>
        <v>Other</v>
      </c>
    </row>
    <row r="296" spans="1:21" x14ac:dyDescent="0.3">
      <c r="A296" s="4" t="s">
        <v>612</v>
      </c>
      <c r="B296" s="1" t="s">
        <v>613</v>
      </c>
      <c r="C296" s="7">
        <v>44408</v>
      </c>
      <c r="D296" s="1">
        <v>134</v>
      </c>
      <c r="E296" s="1">
        <v>38.549999999999997</v>
      </c>
      <c r="F296" s="1">
        <v>3</v>
      </c>
      <c r="G296" s="1">
        <v>0</v>
      </c>
      <c r="H296" s="1">
        <v>33</v>
      </c>
      <c r="I296" s="1">
        <v>2</v>
      </c>
      <c r="J296" s="1">
        <v>94.29</v>
      </c>
      <c r="K296" s="1">
        <v>1</v>
      </c>
      <c r="L296" s="1">
        <v>11</v>
      </c>
      <c r="M296" s="1">
        <v>14.981</v>
      </c>
      <c r="N296" s="1">
        <v>16</v>
      </c>
      <c r="O296" s="1">
        <v>1148</v>
      </c>
      <c r="P296" s="1">
        <v>16.471499999999999</v>
      </c>
      <c r="Q296" s="1">
        <v>17.198</v>
      </c>
      <c r="R296" s="5">
        <v>5.9027777777777778E-4</v>
      </c>
      <c r="S296" s="1">
        <v>7949</v>
      </c>
      <c r="T296" s="6">
        <v>9.7200000000000006</v>
      </c>
      <c r="U296" s="1" t="str">
        <f>IF(ISNUMBER(SEARCH("Vande Bharat",Table1[[#This Row],[Video title]])),"Vande Bharat","Other")</f>
        <v>Other</v>
      </c>
    </row>
    <row r="297" spans="1:21" x14ac:dyDescent="0.3">
      <c r="A297" s="4" t="s">
        <v>614</v>
      </c>
      <c r="B297" s="1" t="s">
        <v>615</v>
      </c>
      <c r="C297" s="7">
        <v>44418</v>
      </c>
      <c r="D297" s="1">
        <v>266</v>
      </c>
      <c r="E297" s="1">
        <v>25.55</v>
      </c>
      <c r="F297" s="1">
        <v>1</v>
      </c>
      <c r="G297" s="1">
        <v>0</v>
      </c>
      <c r="H297" s="1">
        <v>41</v>
      </c>
      <c r="I297" s="1">
        <v>3</v>
      </c>
      <c r="J297" s="1">
        <v>93.18</v>
      </c>
      <c r="K297" s="1">
        <v>0</v>
      </c>
      <c r="L297" s="1">
        <v>13</v>
      </c>
      <c r="M297" s="1">
        <v>18.666</v>
      </c>
      <c r="N297" s="1">
        <v>11</v>
      </c>
      <c r="O297" s="1">
        <v>1143</v>
      </c>
      <c r="P297" s="1">
        <v>21.5779</v>
      </c>
      <c r="Q297" s="1">
        <v>21.335000000000001</v>
      </c>
      <c r="R297" s="5">
        <v>7.7546296296296293E-4</v>
      </c>
      <c r="S297" s="1">
        <v>9052</v>
      </c>
      <c r="T297" s="6">
        <v>8.77</v>
      </c>
      <c r="U297" s="1" t="str">
        <f>IF(ISNUMBER(SEARCH("Vande Bharat",Table1[[#This Row],[Video title]])),"Vande Bharat","Other")</f>
        <v>Other</v>
      </c>
    </row>
    <row r="298" spans="1:21" x14ac:dyDescent="0.3">
      <c r="A298" s="4" t="s">
        <v>616</v>
      </c>
      <c r="B298" s="1" t="s">
        <v>617</v>
      </c>
      <c r="C298" s="7">
        <v>44307</v>
      </c>
      <c r="D298" s="1">
        <v>261</v>
      </c>
      <c r="E298" s="1">
        <v>35.229999999999997</v>
      </c>
      <c r="F298" s="1">
        <v>6</v>
      </c>
      <c r="G298" s="1">
        <v>0</v>
      </c>
      <c r="H298" s="1">
        <v>48</v>
      </c>
      <c r="I298" s="1">
        <v>0</v>
      </c>
      <c r="J298" s="1">
        <v>100</v>
      </c>
      <c r="K298" s="1">
        <v>3</v>
      </c>
      <c r="L298" s="1">
        <v>16</v>
      </c>
      <c r="M298" s="1">
        <v>29.696999999999999</v>
      </c>
      <c r="N298" s="1">
        <v>25</v>
      </c>
      <c r="O298" s="1">
        <v>1184</v>
      </c>
      <c r="P298" s="1">
        <v>30.243099999999998</v>
      </c>
      <c r="Q298" s="1">
        <v>35.161000000000001</v>
      </c>
      <c r="R298" s="5">
        <v>1.0532407407407407E-3</v>
      </c>
      <c r="S298" s="1">
        <v>13136</v>
      </c>
      <c r="T298" s="6">
        <v>6.44</v>
      </c>
      <c r="U298" s="1" t="str">
        <f>IF(ISNUMBER(SEARCH("Vande Bharat",Table1[[#This Row],[Video title]])),"Vande Bharat","Other")</f>
        <v>Other</v>
      </c>
    </row>
    <row r="299" spans="1:21" x14ac:dyDescent="0.3">
      <c r="A299" s="4" t="s">
        <v>618</v>
      </c>
      <c r="B299" s="1" t="s">
        <v>619</v>
      </c>
      <c r="C299" s="7">
        <v>44375</v>
      </c>
      <c r="D299" s="1">
        <v>617</v>
      </c>
      <c r="E299" s="1">
        <v>29.9</v>
      </c>
      <c r="F299" s="1">
        <v>7</v>
      </c>
      <c r="G299" s="1">
        <v>1</v>
      </c>
      <c r="H299" s="1">
        <v>62</v>
      </c>
      <c r="I299" s="1">
        <v>2</v>
      </c>
      <c r="J299" s="1">
        <v>96.88</v>
      </c>
      <c r="K299" s="1">
        <v>4</v>
      </c>
      <c r="L299" s="1">
        <v>26</v>
      </c>
      <c r="M299" s="1">
        <v>26.763000000000002</v>
      </c>
      <c r="N299" s="1">
        <v>19</v>
      </c>
      <c r="O299" s="1">
        <v>1211</v>
      </c>
      <c r="P299" s="1">
        <v>62.055</v>
      </c>
      <c r="Q299" s="1">
        <v>32.409999999999997</v>
      </c>
      <c r="R299" s="5">
        <v>2.1296296296296298E-3</v>
      </c>
      <c r="S299" s="1">
        <v>14399</v>
      </c>
      <c r="T299" s="6">
        <v>5.98</v>
      </c>
      <c r="U299" s="1" t="str">
        <f>IF(ISNUMBER(SEARCH("Vande Bharat",Table1[[#This Row],[Video title]])),"Vande Bharat","Other")</f>
        <v>Other</v>
      </c>
    </row>
    <row r="300" spans="1:21" x14ac:dyDescent="0.3">
      <c r="A300" s="4" t="s">
        <v>620</v>
      </c>
      <c r="B300" s="1" t="s">
        <v>621</v>
      </c>
      <c r="C300" s="7">
        <v>44213</v>
      </c>
      <c r="D300" s="1">
        <v>86</v>
      </c>
      <c r="E300" s="1">
        <v>50</v>
      </c>
      <c r="F300" s="1">
        <v>6</v>
      </c>
      <c r="G300" s="1">
        <v>1</v>
      </c>
      <c r="H300" s="1">
        <v>43</v>
      </c>
      <c r="I300" s="1">
        <v>0</v>
      </c>
      <c r="J300" s="1">
        <v>100</v>
      </c>
      <c r="K300" s="1">
        <v>4</v>
      </c>
      <c r="L300" s="1">
        <v>10</v>
      </c>
      <c r="M300" s="1">
        <v>4.45</v>
      </c>
      <c r="N300" s="1">
        <v>11</v>
      </c>
      <c r="O300" s="1">
        <v>1147</v>
      </c>
      <c r="P300" s="1">
        <v>13.700200000000001</v>
      </c>
      <c r="Q300" s="1">
        <v>5.1040000000000001</v>
      </c>
      <c r="R300" s="5">
        <v>4.9768518518518521E-4</v>
      </c>
      <c r="S300" s="1">
        <v>10524</v>
      </c>
      <c r="T300" s="6">
        <v>8.39</v>
      </c>
      <c r="U300" s="1" t="str">
        <f>IF(ISNUMBER(SEARCH("Vande Bharat",Table1[[#This Row],[Video title]])),"Vande Bharat","Other")</f>
        <v>Other</v>
      </c>
    </row>
    <row r="301" spans="1:21" x14ac:dyDescent="0.3">
      <c r="A301" s="4" t="s">
        <v>622</v>
      </c>
      <c r="B301" s="1" t="s">
        <v>623</v>
      </c>
      <c r="C301" s="7">
        <v>44427</v>
      </c>
      <c r="D301" s="1">
        <v>112</v>
      </c>
      <c r="E301" s="1">
        <v>47.67</v>
      </c>
      <c r="F301" s="1">
        <v>7</v>
      </c>
      <c r="G301" s="1">
        <v>0</v>
      </c>
      <c r="H301" s="1">
        <v>46</v>
      </c>
      <c r="I301" s="1">
        <v>1</v>
      </c>
      <c r="J301" s="1">
        <v>97.87</v>
      </c>
      <c r="K301" s="1">
        <v>1</v>
      </c>
      <c r="L301" s="1">
        <v>7</v>
      </c>
      <c r="M301" s="1">
        <v>22.738</v>
      </c>
      <c r="N301" s="1">
        <v>17</v>
      </c>
      <c r="O301" s="1">
        <v>1205</v>
      </c>
      <c r="P301" s="1">
        <v>17.8721</v>
      </c>
      <c r="Q301" s="1">
        <v>27.399000000000001</v>
      </c>
      <c r="R301" s="5">
        <v>6.134259259259259E-4</v>
      </c>
      <c r="S301" s="1">
        <v>12228</v>
      </c>
      <c r="T301" s="6">
        <v>7.02</v>
      </c>
      <c r="U301" s="1" t="str">
        <f>IF(ISNUMBER(SEARCH("Vande Bharat",Table1[[#This Row],[Video title]])),"Vande Bharat","Other")</f>
        <v>Other</v>
      </c>
    </row>
    <row r="302" spans="1:21" x14ac:dyDescent="0.3">
      <c r="A302" s="4" t="s">
        <v>624</v>
      </c>
      <c r="B302" s="1" t="s">
        <v>625</v>
      </c>
      <c r="C302" s="7">
        <v>44566</v>
      </c>
      <c r="D302" s="1">
        <v>77</v>
      </c>
      <c r="E302" s="1">
        <v>50.39</v>
      </c>
      <c r="F302" s="1">
        <v>2</v>
      </c>
      <c r="G302" s="1">
        <v>0</v>
      </c>
      <c r="H302" s="1">
        <v>45</v>
      </c>
      <c r="I302" s="1">
        <v>0</v>
      </c>
      <c r="J302" s="1">
        <v>100</v>
      </c>
      <c r="K302" s="1">
        <v>1</v>
      </c>
      <c r="L302" s="1">
        <v>8</v>
      </c>
      <c r="M302" s="1">
        <v>21.151</v>
      </c>
      <c r="N302" s="1">
        <v>20</v>
      </c>
      <c r="O302" s="1">
        <v>1132</v>
      </c>
      <c r="P302" s="1">
        <v>12.200200000000001</v>
      </c>
      <c r="Q302" s="1">
        <v>23.922000000000001</v>
      </c>
      <c r="R302" s="5">
        <v>4.3981481481481481E-4</v>
      </c>
      <c r="S302" s="1">
        <v>9588</v>
      </c>
      <c r="T302" s="6">
        <v>7.08</v>
      </c>
      <c r="U302" s="1" t="str">
        <f>IF(ISNUMBER(SEARCH("Vande Bharat",Table1[[#This Row],[Video title]])),"Vande Bharat","Other")</f>
        <v>Other</v>
      </c>
    </row>
    <row r="303" spans="1:21" x14ac:dyDescent="0.3">
      <c r="A303" s="4" t="s">
        <v>626</v>
      </c>
      <c r="B303" s="1" t="s">
        <v>627</v>
      </c>
      <c r="C303" s="7">
        <v>45044</v>
      </c>
      <c r="D303" s="1">
        <v>499</v>
      </c>
      <c r="E303" s="1">
        <v>14.64</v>
      </c>
      <c r="F303" s="1">
        <v>3</v>
      </c>
      <c r="G303" s="1">
        <v>1</v>
      </c>
      <c r="H303" s="1">
        <v>22</v>
      </c>
      <c r="I303" s="1">
        <v>2</v>
      </c>
      <c r="J303" s="1">
        <v>91.67</v>
      </c>
      <c r="K303" s="1">
        <v>17</v>
      </c>
      <c r="L303" s="1">
        <v>3</v>
      </c>
      <c r="M303" s="1">
        <v>26.946000000000002</v>
      </c>
      <c r="N303" s="1">
        <v>28</v>
      </c>
      <c r="O303" s="1">
        <v>1180</v>
      </c>
      <c r="P303" s="1">
        <v>23.947800000000001</v>
      </c>
      <c r="Q303" s="1">
        <v>31.795999999999999</v>
      </c>
      <c r="R303" s="5">
        <v>8.4490740740740739E-4</v>
      </c>
      <c r="S303" s="1">
        <v>11337</v>
      </c>
      <c r="T303" s="6">
        <v>8.8699999999999992</v>
      </c>
      <c r="U303" s="1" t="str">
        <f>IF(ISNUMBER(SEARCH("Vande Bharat",Table1[[#This Row],[Video title]])),"Vande Bharat","Other")</f>
        <v>Other</v>
      </c>
    </row>
    <row r="304" spans="1:21" x14ac:dyDescent="0.3">
      <c r="A304" s="4" t="s">
        <v>628</v>
      </c>
      <c r="B304" s="1" t="s">
        <v>629</v>
      </c>
      <c r="C304" s="7">
        <v>44388</v>
      </c>
      <c r="D304" s="1">
        <v>205</v>
      </c>
      <c r="E304" s="1">
        <v>28.07</v>
      </c>
      <c r="F304" s="1">
        <v>2</v>
      </c>
      <c r="G304" s="1">
        <v>0</v>
      </c>
      <c r="H304" s="1">
        <v>42</v>
      </c>
      <c r="I304" s="1">
        <v>1</v>
      </c>
      <c r="J304" s="1">
        <v>97.67</v>
      </c>
      <c r="K304" s="1">
        <v>0</v>
      </c>
      <c r="L304" s="1">
        <v>12</v>
      </c>
      <c r="M304" s="1">
        <v>13.103</v>
      </c>
      <c r="N304" s="1">
        <v>14</v>
      </c>
      <c r="O304" s="1">
        <v>1156</v>
      </c>
      <c r="P304" s="1">
        <v>18.476700000000001</v>
      </c>
      <c r="Q304" s="1">
        <v>15.147</v>
      </c>
      <c r="R304" s="5">
        <v>6.5972222222222224E-4</v>
      </c>
      <c r="S304" s="1">
        <v>12346</v>
      </c>
      <c r="T304" s="6">
        <v>6.93</v>
      </c>
      <c r="U304" s="1" t="str">
        <f>IF(ISNUMBER(SEARCH("Vande Bharat",Table1[[#This Row],[Video title]])),"Vande Bharat","Other")</f>
        <v>Other</v>
      </c>
    </row>
    <row r="305" spans="1:21" x14ac:dyDescent="0.3">
      <c r="A305" s="4" t="s">
        <v>630</v>
      </c>
      <c r="B305" s="1" t="s">
        <v>631</v>
      </c>
      <c r="C305" s="7">
        <v>45894</v>
      </c>
      <c r="D305" s="1">
        <v>25</v>
      </c>
      <c r="E305" s="1">
        <v>63.05</v>
      </c>
      <c r="F305" s="1">
        <v>2</v>
      </c>
      <c r="G305" s="1">
        <v>0</v>
      </c>
      <c r="H305" s="1">
        <v>20</v>
      </c>
      <c r="I305" s="1">
        <v>1</v>
      </c>
      <c r="J305" s="1">
        <v>95.24</v>
      </c>
      <c r="K305" s="1">
        <v>3</v>
      </c>
      <c r="L305" s="1">
        <v>0</v>
      </c>
      <c r="M305" s="1">
        <v>1.0129999999999999</v>
      </c>
      <c r="N305" s="1">
        <v>90</v>
      </c>
      <c r="O305" s="1">
        <v>2782</v>
      </c>
      <c r="P305" s="1">
        <v>5.5891999999999999</v>
      </c>
      <c r="Q305" s="1">
        <v>1.1739999999999999</v>
      </c>
      <c r="R305" s="5">
        <v>1.7361111111111112E-4</v>
      </c>
      <c r="S305" s="1">
        <v>5172</v>
      </c>
      <c r="T305" s="6">
        <v>5.65</v>
      </c>
      <c r="U305" s="1" t="str">
        <f>IF(ISNUMBER(SEARCH("Vande Bharat",Table1[[#This Row],[Video title]])),"Vande Bharat","Other")</f>
        <v>Other</v>
      </c>
    </row>
    <row r="306" spans="1:21" x14ac:dyDescent="0.3">
      <c r="A306" s="4" t="s">
        <v>632</v>
      </c>
      <c r="B306" s="1" t="s">
        <v>633</v>
      </c>
      <c r="C306" s="7">
        <v>44664</v>
      </c>
      <c r="D306" s="1">
        <v>1998</v>
      </c>
      <c r="E306" s="1">
        <v>7.7</v>
      </c>
      <c r="F306" s="1">
        <v>7</v>
      </c>
      <c r="G306" s="1">
        <v>0</v>
      </c>
      <c r="H306" s="1">
        <v>36</v>
      </c>
      <c r="I306" s="1">
        <v>2</v>
      </c>
      <c r="J306" s="1">
        <v>94.74</v>
      </c>
      <c r="K306" s="1">
        <v>4</v>
      </c>
      <c r="L306" s="1">
        <v>8</v>
      </c>
      <c r="M306" s="1">
        <v>36.454000000000001</v>
      </c>
      <c r="N306" s="1">
        <v>27</v>
      </c>
      <c r="O306" s="1">
        <v>1220</v>
      </c>
      <c r="P306" s="1">
        <v>52.157400000000003</v>
      </c>
      <c r="Q306" s="1">
        <v>44.436999999999998</v>
      </c>
      <c r="R306" s="5">
        <v>1.7708333333333332E-3</v>
      </c>
      <c r="S306" s="1">
        <v>10176</v>
      </c>
      <c r="T306" s="6">
        <v>9.9499999999999993</v>
      </c>
      <c r="U306" s="1" t="str">
        <f>IF(ISNUMBER(SEARCH("Vande Bharat",Table1[[#This Row],[Video title]])),"Vande Bharat","Other")</f>
        <v>Other</v>
      </c>
    </row>
    <row r="307" spans="1:21" x14ac:dyDescent="0.3">
      <c r="A307" s="4" t="s">
        <v>634</v>
      </c>
      <c r="B307" s="1" t="s">
        <v>635</v>
      </c>
      <c r="C307" s="7">
        <v>44682</v>
      </c>
      <c r="D307" s="1">
        <v>150</v>
      </c>
      <c r="E307" s="1">
        <v>32.18</v>
      </c>
      <c r="F307" s="1">
        <v>2</v>
      </c>
      <c r="G307" s="1">
        <v>0</v>
      </c>
      <c r="H307" s="1">
        <v>43</v>
      </c>
      <c r="I307" s="1">
        <v>1</v>
      </c>
      <c r="J307" s="1">
        <v>97.73</v>
      </c>
      <c r="K307" s="1">
        <v>4</v>
      </c>
      <c r="L307" s="1">
        <v>15</v>
      </c>
      <c r="M307" s="1">
        <v>19.834</v>
      </c>
      <c r="N307" s="1">
        <v>33</v>
      </c>
      <c r="O307" s="1">
        <v>1163</v>
      </c>
      <c r="P307" s="1">
        <v>15.5945</v>
      </c>
      <c r="Q307" s="1">
        <v>23.067</v>
      </c>
      <c r="R307" s="5">
        <v>5.5555555555555556E-4</v>
      </c>
      <c r="S307" s="1">
        <v>9370</v>
      </c>
      <c r="T307" s="6">
        <v>10.55</v>
      </c>
      <c r="U307" s="1" t="str">
        <f>IF(ISNUMBER(SEARCH("Vande Bharat",Table1[[#This Row],[Video title]])),"Vande Bharat","Other")</f>
        <v>Other</v>
      </c>
    </row>
    <row r="308" spans="1:21" x14ac:dyDescent="0.3">
      <c r="A308" s="4" t="s">
        <v>636</v>
      </c>
      <c r="B308" s="1" t="s">
        <v>637</v>
      </c>
      <c r="C308" s="7">
        <v>45498</v>
      </c>
      <c r="D308" s="1">
        <v>794</v>
      </c>
      <c r="E308" s="1">
        <v>16.89</v>
      </c>
      <c r="F308" s="1">
        <v>2</v>
      </c>
      <c r="G308" s="1">
        <v>1</v>
      </c>
      <c r="H308" s="1">
        <v>23</v>
      </c>
      <c r="I308" s="1">
        <v>0</v>
      </c>
      <c r="J308" s="1">
        <v>100</v>
      </c>
      <c r="K308" s="1">
        <v>10</v>
      </c>
      <c r="L308" s="1">
        <v>3</v>
      </c>
      <c r="M308" s="1">
        <v>31.452999999999999</v>
      </c>
      <c r="N308" s="1">
        <v>66</v>
      </c>
      <c r="O308" s="1">
        <v>1121</v>
      </c>
      <c r="P308" s="1">
        <v>41.766399999999997</v>
      </c>
      <c r="Q308" s="1">
        <v>35.219000000000001</v>
      </c>
      <c r="R308" s="5">
        <v>1.5509259259259259E-3</v>
      </c>
      <c r="S308" s="1">
        <v>14157</v>
      </c>
      <c r="T308" s="6">
        <v>6.53</v>
      </c>
      <c r="U308" s="1" t="str">
        <f>IF(ISNUMBER(SEARCH("Vande Bharat",Table1[[#This Row],[Video title]])),"Vande Bharat","Other")</f>
        <v>Other</v>
      </c>
    </row>
    <row r="309" spans="1:21" x14ac:dyDescent="0.3">
      <c r="A309" s="4" t="s">
        <v>638</v>
      </c>
      <c r="B309" s="1" t="s">
        <v>639</v>
      </c>
      <c r="C309" s="7">
        <v>44379</v>
      </c>
      <c r="D309" s="1">
        <v>233</v>
      </c>
      <c r="E309" s="1">
        <v>35.99</v>
      </c>
      <c r="F309" s="1">
        <v>3</v>
      </c>
      <c r="G309" s="1">
        <v>0</v>
      </c>
      <c r="H309" s="1">
        <v>49</v>
      </c>
      <c r="I309" s="1">
        <v>4</v>
      </c>
      <c r="J309" s="1">
        <v>92.45</v>
      </c>
      <c r="K309" s="1">
        <v>1</v>
      </c>
      <c r="L309" s="1">
        <v>13</v>
      </c>
      <c r="M309" s="1">
        <v>18.861999999999998</v>
      </c>
      <c r="N309" s="1">
        <v>16</v>
      </c>
      <c r="O309" s="1">
        <v>1098</v>
      </c>
      <c r="P309" s="1">
        <v>25.577000000000002</v>
      </c>
      <c r="Q309" s="1">
        <v>20.71</v>
      </c>
      <c r="R309" s="5">
        <v>9.6064814814814819E-4</v>
      </c>
      <c r="S309" s="1">
        <v>8094</v>
      </c>
      <c r="T309" s="6">
        <v>10.23</v>
      </c>
      <c r="U309" s="1" t="str">
        <f>IF(ISNUMBER(SEARCH("Vande Bharat",Table1[[#This Row],[Video title]])),"Vande Bharat","Other")</f>
        <v>Other</v>
      </c>
    </row>
    <row r="310" spans="1:21" x14ac:dyDescent="0.3">
      <c r="A310" s="4" t="s">
        <v>740</v>
      </c>
      <c r="B310" s="1" t="s">
        <v>741</v>
      </c>
      <c r="C310" s="7">
        <v>45169</v>
      </c>
      <c r="D310" s="1">
        <v>65</v>
      </c>
      <c r="E310" s="1">
        <v>41.86</v>
      </c>
      <c r="F310" s="1">
        <v>0</v>
      </c>
      <c r="G310" s="1">
        <v>0</v>
      </c>
      <c r="H310" s="1">
        <v>13</v>
      </c>
      <c r="I310" s="1">
        <v>0</v>
      </c>
      <c r="J310" s="1">
        <v>100</v>
      </c>
      <c r="K310" s="1">
        <v>1</v>
      </c>
      <c r="L310" s="1">
        <v>1</v>
      </c>
      <c r="M310" s="1">
        <v>12.977</v>
      </c>
      <c r="N310" s="1">
        <v>44</v>
      </c>
      <c r="O310" s="1">
        <v>896</v>
      </c>
      <c r="P310" s="1">
        <v>6.7723000000000004</v>
      </c>
      <c r="Q310" s="1">
        <v>11.627000000000001</v>
      </c>
      <c r="R310" s="5">
        <v>3.1250000000000001E-4</v>
      </c>
      <c r="S310" s="1">
        <v>11180</v>
      </c>
      <c r="T310" s="6">
        <v>7.03</v>
      </c>
      <c r="U310" s="1" t="str">
        <f>IF(ISNUMBER(SEARCH("Vande Bharat",Table1[[#This Row],[Video title]])),"Vande Bharat","Other")</f>
        <v>Vande Bharat</v>
      </c>
    </row>
    <row r="311" spans="1:21" x14ac:dyDescent="0.3">
      <c r="A311" s="4" t="s">
        <v>642</v>
      </c>
      <c r="B311" s="1" t="s">
        <v>643</v>
      </c>
      <c r="C311" s="7">
        <v>44185</v>
      </c>
      <c r="D311" s="1">
        <v>211</v>
      </c>
      <c r="E311" s="1">
        <v>36.36</v>
      </c>
      <c r="F311" s="1">
        <v>11</v>
      </c>
      <c r="G311" s="1">
        <v>0</v>
      </c>
      <c r="H311" s="1">
        <v>55</v>
      </c>
      <c r="I311" s="1">
        <v>0</v>
      </c>
      <c r="J311" s="1">
        <v>100</v>
      </c>
      <c r="K311" s="1">
        <v>4</v>
      </c>
      <c r="L311" s="1">
        <v>15</v>
      </c>
      <c r="M311" s="1">
        <v>0.77700000000000002</v>
      </c>
      <c r="N311" s="1">
        <v>16</v>
      </c>
      <c r="O311" s="1">
        <v>1325</v>
      </c>
      <c r="P311" s="1">
        <v>28.235800000000001</v>
      </c>
      <c r="Q311" s="1">
        <v>1.0289999999999999</v>
      </c>
      <c r="R311" s="5">
        <v>8.7962962962962962E-4</v>
      </c>
      <c r="S311" s="1">
        <v>12121</v>
      </c>
      <c r="T311" s="6">
        <v>7.31</v>
      </c>
      <c r="U311" s="1" t="str">
        <f>IF(ISNUMBER(SEARCH("Vande Bharat",Table1[[#This Row],[Video title]])),"Vande Bharat","Other")</f>
        <v>Other</v>
      </c>
    </row>
    <row r="312" spans="1:21" x14ac:dyDescent="0.3">
      <c r="A312" s="4" t="s">
        <v>644</v>
      </c>
      <c r="B312" s="1" t="s">
        <v>645</v>
      </c>
      <c r="C312" s="7">
        <v>44362</v>
      </c>
      <c r="D312" s="1">
        <v>287</v>
      </c>
      <c r="E312" s="1">
        <v>38.94</v>
      </c>
      <c r="F312" s="1">
        <v>2</v>
      </c>
      <c r="G312" s="1">
        <v>0</v>
      </c>
      <c r="H312" s="1">
        <v>54</v>
      </c>
      <c r="I312" s="1">
        <v>1</v>
      </c>
      <c r="J312" s="1">
        <v>98.18</v>
      </c>
      <c r="K312" s="1">
        <v>2</v>
      </c>
      <c r="L312" s="1">
        <v>14</v>
      </c>
      <c r="M312" s="1">
        <v>23.266999999999999</v>
      </c>
      <c r="N312" s="1">
        <v>19</v>
      </c>
      <c r="O312" s="1">
        <v>1114</v>
      </c>
      <c r="P312" s="1">
        <v>34.586399999999998</v>
      </c>
      <c r="Q312" s="1">
        <v>25.919</v>
      </c>
      <c r="R312" s="5">
        <v>1.2847222222222223E-3</v>
      </c>
      <c r="S312" s="1">
        <v>12419</v>
      </c>
      <c r="T312" s="6">
        <v>6.08</v>
      </c>
      <c r="U312" s="1" t="str">
        <f>IF(ISNUMBER(SEARCH("Vande Bharat",Table1[[#This Row],[Video title]])),"Vande Bharat","Other")</f>
        <v>Other</v>
      </c>
    </row>
    <row r="313" spans="1:21" x14ac:dyDescent="0.3">
      <c r="A313" s="4" t="s">
        <v>646</v>
      </c>
      <c r="B313" s="1" t="s">
        <v>647</v>
      </c>
      <c r="C313" s="7">
        <v>45379</v>
      </c>
      <c r="D313" s="1">
        <v>1239</v>
      </c>
      <c r="E313" s="1">
        <v>13.84</v>
      </c>
      <c r="F313" s="1">
        <v>5</v>
      </c>
      <c r="G313" s="1">
        <v>0</v>
      </c>
      <c r="H313" s="1">
        <v>20</v>
      </c>
      <c r="I313" s="1">
        <v>0</v>
      </c>
      <c r="J313" s="1">
        <v>100</v>
      </c>
      <c r="K313" s="1">
        <v>5</v>
      </c>
      <c r="L313" s="1">
        <v>4</v>
      </c>
      <c r="M313" s="1">
        <v>54.216999999999999</v>
      </c>
      <c r="N313" s="1">
        <v>94</v>
      </c>
      <c r="O313" s="1">
        <v>1329</v>
      </c>
      <c r="P313" s="1">
        <v>63.32</v>
      </c>
      <c r="Q313" s="1">
        <v>72.016000000000005</v>
      </c>
      <c r="R313" s="5">
        <v>1.9791666666666668E-3</v>
      </c>
      <c r="S313" s="1">
        <v>15890</v>
      </c>
      <c r="T313" s="6">
        <v>6.7</v>
      </c>
      <c r="U313" s="1" t="str">
        <f>IF(ISNUMBER(SEARCH("Vande Bharat",Table1[[#This Row],[Video title]])),"Vande Bharat","Other")</f>
        <v>Other</v>
      </c>
    </row>
    <row r="314" spans="1:21" x14ac:dyDescent="0.3">
      <c r="A314" s="4" t="s">
        <v>648</v>
      </c>
      <c r="B314" s="1" t="s">
        <v>649</v>
      </c>
      <c r="C314" s="7">
        <v>44320</v>
      </c>
      <c r="D314" s="1">
        <v>114</v>
      </c>
      <c r="E314" s="1">
        <v>49.72</v>
      </c>
      <c r="F314" s="1">
        <v>2</v>
      </c>
      <c r="G314" s="1">
        <v>0</v>
      </c>
      <c r="H314" s="1">
        <v>47</v>
      </c>
      <c r="I314" s="1">
        <v>3</v>
      </c>
      <c r="J314" s="1">
        <v>94</v>
      </c>
      <c r="K314" s="1">
        <v>3</v>
      </c>
      <c r="L314" s="1">
        <v>13</v>
      </c>
      <c r="M314" s="1">
        <v>19.256</v>
      </c>
      <c r="N314" s="1">
        <v>23</v>
      </c>
      <c r="O314" s="1">
        <v>1118</v>
      </c>
      <c r="P314" s="1">
        <v>17.601199999999999</v>
      </c>
      <c r="Q314" s="1">
        <v>21.527999999999999</v>
      </c>
      <c r="R314" s="5">
        <v>6.4814814814814813E-4</v>
      </c>
      <c r="S314" s="1">
        <v>10001</v>
      </c>
      <c r="T314" s="6">
        <v>8.39</v>
      </c>
      <c r="U314" s="1" t="str">
        <f>IF(ISNUMBER(SEARCH("Vande Bharat",Table1[[#This Row],[Video title]])),"Vande Bharat","Other")</f>
        <v>Other</v>
      </c>
    </row>
    <row r="315" spans="1:21" x14ac:dyDescent="0.3">
      <c r="A315" s="4" t="s">
        <v>650</v>
      </c>
      <c r="B315" s="1" t="s">
        <v>651</v>
      </c>
      <c r="C315" s="7">
        <v>44407</v>
      </c>
      <c r="D315" s="1">
        <v>862</v>
      </c>
      <c r="E315" s="1">
        <v>19.62</v>
      </c>
      <c r="F315" s="1">
        <v>6</v>
      </c>
      <c r="G315" s="1">
        <v>0</v>
      </c>
      <c r="H315" s="1">
        <v>34</v>
      </c>
      <c r="I315" s="1">
        <v>1</v>
      </c>
      <c r="J315" s="1">
        <v>97.14</v>
      </c>
      <c r="K315" s="1">
        <v>0</v>
      </c>
      <c r="L315" s="1">
        <v>9</v>
      </c>
      <c r="M315" s="1">
        <v>18.867000000000001</v>
      </c>
      <c r="N315" s="1">
        <v>16</v>
      </c>
      <c r="O315" s="1">
        <v>1246</v>
      </c>
      <c r="P315" s="1">
        <v>58.546799999999998</v>
      </c>
      <c r="Q315" s="1">
        <v>23.507999999999999</v>
      </c>
      <c r="R315" s="5">
        <v>1.9560185185185184E-3</v>
      </c>
      <c r="S315" s="1">
        <v>16102</v>
      </c>
      <c r="T315" s="6">
        <v>5.13</v>
      </c>
      <c r="U315" s="1" t="str">
        <f>IF(ISNUMBER(SEARCH("Vande Bharat",Table1[[#This Row],[Video title]])),"Vande Bharat","Other")</f>
        <v>Other</v>
      </c>
    </row>
    <row r="316" spans="1:21" x14ac:dyDescent="0.3">
      <c r="A316" s="4" t="s">
        <v>652</v>
      </c>
      <c r="B316" s="1" t="s">
        <v>653</v>
      </c>
      <c r="C316" s="7">
        <v>45614</v>
      </c>
      <c r="D316" s="1">
        <v>11</v>
      </c>
      <c r="E316" s="1">
        <v>87.18</v>
      </c>
      <c r="F316" s="1">
        <v>1</v>
      </c>
      <c r="G316" s="1">
        <v>0</v>
      </c>
      <c r="H316" s="1">
        <v>24</v>
      </c>
      <c r="I316" s="1">
        <v>1</v>
      </c>
      <c r="J316" s="1">
        <v>96</v>
      </c>
      <c r="K316" s="1">
        <v>1</v>
      </c>
      <c r="L316" s="1">
        <v>0</v>
      </c>
      <c r="M316" s="1">
        <v>1.54</v>
      </c>
      <c r="N316" s="1">
        <v>83</v>
      </c>
      <c r="O316" s="1">
        <v>1570</v>
      </c>
      <c r="P316" s="1">
        <v>2.8473999999999999</v>
      </c>
      <c r="Q316" s="1">
        <v>1.546</v>
      </c>
      <c r="R316" s="5">
        <v>1.0416666666666667E-4</v>
      </c>
      <c r="S316" s="1">
        <v>5979</v>
      </c>
      <c r="T316" s="6">
        <v>2.64</v>
      </c>
      <c r="U316" s="1" t="str">
        <f>IF(ISNUMBER(SEARCH("Vande Bharat",Table1[[#This Row],[Video title]])),"Vande Bharat","Other")</f>
        <v>Other</v>
      </c>
    </row>
    <row r="317" spans="1:21" x14ac:dyDescent="0.3">
      <c r="A317" s="4" t="s">
        <v>546</v>
      </c>
      <c r="B317" s="1" t="s">
        <v>547</v>
      </c>
      <c r="C317" s="7">
        <v>45082</v>
      </c>
      <c r="D317" s="1">
        <v>99</v>
      </c>
      <c r="E317" s="1">
        <v>38.5</v>
      </c>
      <c r="F317" s="1">
        <v>1</v>
      </c>
      <c r="G317" s="1">
        <v>0</v>
      </c>
      <c r="H317" s="1">
        <v>22</v>
      </c>
      <c r="I317" s="1">
        <v>0</v>
      </c>
      <c r="J317" s="1">
        <v>100</v>
      </c>
      <c r="K317" s="1">
        <v>1</v>
      </c>
      <c r="L317" s="1">
        <v>4</v>
      </c>
      <c r="M317" s="1">
        <v>11.715999999999999</v>
      </c>
      <c r="N317" s="1">
        <v>18</v>
      </c>
      <c r="O317" s="1">
        <v>1255</v>
      </c>
      <c r="P317" s="1">
        <v>13.286300000000001</v>
      </c>
      <c r="Q317" s="1">
        <v>14.702999999999999</v>
      </c>
      <c r="R317" s="5">
        <v>4.3981481481481481E-4</v>
      </c>
      <c r="S317" s="1">
        <v>17904</v>
      </c>
      <c r="T317" s="6">
        <v>6.09</v>
      </c>
      <c r="U317" s="1" t="str">
        <f>IF(ISNUMBER(SEARCH("Vande Bharat",Table1[[#This Row],[Video title]])),"Vande Bharat","Other")</f>
        <v>Vande Bharat</v>
      </c>
    </row>
    <row r="318" spans="1:21" x14ac:dyDescent="0.3">
      <c r="A318" s="4" t="s">
        <v>656</v>
      </c>
      <c r="B318" s="1" t="s">
        <v>657</v>
      </c>
      <c r="C318" s="7">
        <v>46033</v>
      </c>
      <c r="D318" s="1">
        <v>22</v>
      </c>
      <c r="E318" s="1">
        <v>65.89</v>
      </c>
      <c r="F318" s="1">
        <v>1</v>
      </c>
      <c r="G318" s="1">
        <v>0</v>
      </c>
      <c r="H318" s="1">
        <v>33</v>
      </c>
      <c r="I318" s="1">
        <v>1</v>
      </c>
      <c r="J318" s="1">
        <v>97.06</v>
      </c>
      <c r="K318" s="1">
        <v>0</v>
      </c>
      <c r="L318" s="1">
        <v>0</v>
      </c>
      <c r="M318" s="1">
        <v>1.194</v>
      </c>
      <c r="N318" s="1">
        <v>155</v>
      </c>
      <c r="O318" s="1">
        <v>2694</v>
      </c>
      <c r="P318" s="1">
        <v>4.5385999999999997</v>
      </c>
      <c r="Q318" s="1">
        <v>1.19</v>
      </c>
      <c r="R318" s="5">
        <v>1.6203703703703703E-4</v>
      </c>
      <c r="S318" s="1">
        <v>1803</v>
      </c>
      <c r="T318" s="6">
        <v>5.32</v>
      </c>
      <c r="U318" s="1" t="str">
        <f>IF(ISNUMBER(SEARCH("Vande Bharat",Table1[[#This Row],[Video title]])),"Vande Bharat","Other")</f>
        <v>Other</v>
      </c>
    </row>
    <row r="319" spans="1:21" x14ac:dyDescent="0.3">
      <c r="A319" s="4" t="s">
        <v>658</v>
      </c>
      <c r="B319" s="1" t="s">
        <v>659</v>
      </c>
      <c r="C319" s="7">
        <v>44352</v>
      </c>
      <c r="D319" s="1">
        <v>204</v>
      </c>
      <c r="E319" s="1">
        <v>40.75</v>
      </c>
      <c r="F319" s="1">
        <v>4</v>
      </c>
      <c r="G319" s="1">
        <v>1</v>
      </c>
      <c r="H319" s="1">
        <v>60</v>
      </c>
      <c r="I319" s="1">
        <v>3</v>
      </c>
      <c r="J319" s="1">
        <v>95.24</v>
      </c>
      <c r="K319" s="1">
        <v>6</v>
      </c>
      <c r="L319" s="1">
        <v>20</v>
      </c>
      <c r="M319" s="1">
        <v>27.08</v>
      </c>
      <c r="N319" s="1">
        <v>20</v>
      </c>
      <c r="O319" s="1">
        <v>1118</v>
      </c>
      <c r="P319" s="1">
        <v>25.814900000000002</v>
      </c>
      <c r="Q319" s="1">
        <v>30.274999999999999</v>
      </c>
      <c r="R319" s="5">
        <v>9.6064814814814819E-4</v>
      </c>
      <c r="S319" s="1">
        <v>10464</v>
      </c>
      <c r="T319" s="6">
        <v>7.69</v>
      </c>
      <c r="U319" s="1" t="str">
        <f>IF(ISNUMBER(SEARCH("Vande Bharat",Table1[[#This Row],[Video title]])),"Vande Bharat","Other")</f>
        <v>Other</v>
      </c>
    </row>
    <row r="320" spans="1:21" x14ac:dyDescent="0.3">
      <c r="A320" s="4" t="s">
        <v>660</v>
      </c>
      <c r="B320" s="1" t="s">
        <v>661</v>
      </c>
      <c r="C320" s="7">
        <v>44552</v>
      </c>
      <c r="D320" s="1">
        <v>83</v>
      </c>
      <c r="E320" s="1">
        <v>42.95</v>
      </c>
      <c r="F320" s="1">
        <v>0</v>
      </c>
      <c r="G320" s="1">
        <v>0</v>
      </c>
      <c r="H320" s="1">
        <v>20</v>
      </c>
      <c r="I320" s="1">
        <v>0</v>
      </c>
      <c r="J320" s="1">
        <v>100</v>
      </c>
      <c r="K320" s="1">
        <v>1</v>
      </c>
      <c r="L320" s="1">
        <v>8</v>
      </c>
      <c r="M320" s="1">
        <v>25.866</v>
      </c>
      <c r="N320" s="1">
        <v>17</v>
      </c>
      <c r="O320" s="1">
        <v>1030</v>
      </c>
      <c r="P320" s="1">
        <v>10.2004</v>
      </c>
      <c r="Q320" s="1">
        <v>26.63</v>
      </c>
      <c r="R320" s="5">
        <v>4.0509259259259258E-4</v>
      </c>
      <c r="S320" s="1">
        <v>8838</v>
      </c>
      <c r="T320" s="6">
        <v>6.85</v>
      </c>
      <c r="U320" s="1" t="str">
        <f>IF(ISNUMBER(SEARCH("Vande Bharat",Table1[[#This Row],[Video title]])),"Vande Bharat","Other")</f>
        <v>Other</v>
      </c>
    </row>
    <row r="321" spans="1:21" x14ac:dyDescent="0.3">
      <c r="A321" s="4" t="s">
        <v>662</v>
      </c>
      <c r="B321" s="1" t="s">
        <v>663</v>
      </c>
      <c r="C321" s="7">
        <v>44089</v>
      </c>
      <c r="D321" s="1">
        <v>104</v>
      </c>
      <c r="E321" s="1">
        <v>19.079999999999998</v>
      </c>
      <c r="F321" s="1">
        <v>3</v>
      </c>
      <c r="G321" s="1">
        <v>0</v>
      </c>
      <c r="H321" s="1">
        <v>7</v>
      </c>
      <c r="I321" s="1">
        <v>1</v>
      </c>
      <c r="J321" s="1">
        <v>87.5</v>
      </c>
      <c r="K321" s="1">
        <v>2</v>
      </c>
      <c r="L321" s="1">
        <v>3</v>
      </c>
      <c r="M321" s="1"/>
      <c r="N321" s="1">
        <v>0</v>
      </c>
      <c r="O321" s="1">
        <v>989</v>
      </c>
      <c r="P321" s="1">
        <v>5.4511000000000003</v>
      </c>
      <c r="Q321" s="1"/>
      <c r="R321" s="5">
        <v>2.199074074074074E-4</v>
      </c>
      <c r="S321" s="1">
        <v>1026</v>
      </c>
      <c r="T321" s="6">
        <v>2.14</v>
      </c>
      <c r="U321" s="1" t="str">
        <f>IF(ISNUMBER(SEARCH("Vande Bharat",Table1[[#This Row],[Video title]])),"Vande Bharat","Other")</f>
        <v>Other</v>
      </c>
    </row>
    <row r="322" spans="1:21" x14ac:dyDescent="0.3">
      <c r="A322" s="4" t="s">
        <v>664</v>
      </c>
      <c r="B322" s="1" t="s">
        <v>665</v>
      </c>
      <c r="C322" s="7">
        <v>44744</v>
      </c>
      <c r="D322" s="1">
        <v>1340</v>
      </c>
      <c r="E322" s="1">
        <v>12.47</v>
      </c>
      <c r="F322" s="1">
        <v>5</v>
      </c>
      <c r="G322" s="1">
        <v>2</v>
      </c>
      <c r="H322" s="1">
        <v>46</v>
      </c>
      <c r="I322" s="1">
        <v>3</v>
      </c>
      <c r="J322" s="1">
        <v>93.88</v>
      </c>
      <c r="K322" s="1">
        <v>2</v>
      </c>
      <c r="L322" s="1">
        <v>6</v>
      </c>
      <c r="M322" s="1">
        <v>30.693000000000001</v>
      </c>
      <c r="N322" s="1">
        <v>30</v>
      </c>
      <c r="O322" s="1">
        <v>1231</v>
      </c>
      <c r="P322" s="1">
        <v>57.136899999999997</v>
      </c>
      <c r="Q322" s="1">
        <v>37.738999999999997</v>
      </c>
      <c r="R322" s="5">
        <v>1.9328703703703704E-3</v>
      </c>
      <c r="S322" s="1">
        <v>10797</v>
      </c>
      <c r="T322" s="6">
        <v>9.65</v>
      </c>
      <c r="U322" s="1" t="str">
        <f>IF(ISNUMBER(SEARCH("Vande Bharat",Table1[[#This Row],[Video title]])),"Vande Bharat","Other")</f>
        <v>Other</v>
      </c>
    </row>
    <row r="323" spans="1:21" x14ac:dyDescent="0.3">
      <c r="A323" s="4" t="s">
        <v>666</v>
      </c>
      <c r="B323" s="1" t="s">
        <v>667</v>
      </c>
      <c r="C323" s="7">
        <v>44450</v>
      </c>
      <c r="D323" s="1">
        <v>231</v>
      </c>
      <c r="E323" s="1">
        <v>25.56</v>
      </c>
      <c r="F323" s="1">
        <v>5</v>
      </c>
      <c r="G323" s="1">
        <v>1</v>
      </c>
      <c r="H323" s="1">
        <v>36</v>
      </c>
      <c r="I323" s="1">
        <v>1</v>
      </c>
      <c r="J323" s="1">
        <v>97.3</v>
      </c>
      <c r="K323" s="1">
        <v>3</v>
      </c>
      <c r="L323" s="1">
        <v>14</v>
      </c>
      <c r="M323" s="1">
        <v>21.524000000000001</v>
      </c>
      <c r="N323" s="1">
        <v>8</v>
      </c>
      <c r="O323" s="1">
        <v>1031</v>
      </c>
      <c r="P323" s="1">
        <v>16.908799999999999</v>
      </c>
      <c r="Q323" s="1">
        <v>22.190999999999999</v>
      </c>
      <c r="R323" s="5">
        <v>6.8287037037037036E-4</v>
      </c>
      <c r="S323" s="1">
        <v>8776</v>
      </c>
      <c r="T323" s="6">
        <v>8.5</v>
      </c>
      <c r="U323" s="1" t="str">
        <f>IF(ISNUMBER(SEARCH("Vande Bharat",Table1[[#This Row],[Video title]])),"Vande Bharat","Other")</f>
        <v>Other</v>
      </c>
    </row>
    <row r="324" spans="1:21" x14ac:dyDescent="0.3">
      <c r="A324" s="4" t="s">
        <v>668</v>
      </c>
      <c r="B324" s="1" t="s">
        <v>669</v>
      </c>
      <c r="C324" s="7">
        <v>44430</v>
      </c>
      <c r="D324" s="1">
        <v>180</v>
      </c>
      <c r="E324" s="1">
        <v>26.84</v>
      </c>
      <c r="F324" s="1">
        <v>3</v>
      </c>
      <c r="G324" s="1">
        <v>1</v>
      </c>
      <c r="H324" s="1">
        <v>30</v>
      </c>
      <c r="I324" s="1">
        <v>0</v>
      </c>
      <c r="J324" s="1">
        <v>100</v>
      </c>
      <c r="K324" s="1">
        <v>1</v>
      </c>
      <c r="L324" s="1">
        <v>5</v>
      </c>
      <c r="M324" s="1">
        <v>12.563000000000001</v>
      </c>
      <c r="N324" s="1">
        <v>8</v>
      </c>
      <c r="O324" s="1">
        <v>1085</v>
      </c>
      <c r="P324" s="1">
        <v>14.563000000000001</v>
      </c>
      <c r="Q324" s="1">
        <v>13.631</v>
      </c>
      <c r="R324" s="5">
        <v>5.5555555555555556E-4</v>
      </c>
      <c r="S324" s="1">
        <v>10088</v>
      </c>
      <c r="T324" s="6">
        <v>7.71</v>
      </c>
      <c r="U324" s="1" t="str">
        <f>IF(ISNUMBER(SEARCH("Vande Bharat",Table1[[#This Row],[Video title]])),"Vande Bharat","Other")</f>
        <v>Other</v>
      </c>
    </row>
    <row r="325" spans="1:21" x14ac:dyDescent="0.3">
      <c r="A325" s="4" t="s">
        <v>670</v>
      </c>
      <c r="B325" s="1" t="s">
        <v>671</v>
      </c>
      <c r="C325" s="7">
        <v>44327</v>
      </c>
      <c r="D325" s="1">
        <v>73</v>
      </c>
      <c r="E325" s="1">
        <v>53.29</v>
      </c>
      <c r="F325" s="1">
        <v>1</v>
      </c>
      <c r="G325" s="1">
        <v>1</v>
      </c>
      <c r="H325" s="1">
        <v>37</v>
      </c>
      <c r="I325" s="1">
        <v>3</v>
      </c>
      <c r="J325" s="1">
        <v>92.5</v>
      </c>
      <c r="K325" s="1">
        <v>4</v>
      </c>
      <c r="L325" s="1">
        <v>9</v>
      </c>
      <c r="M325" s="1">
        <v>20.968</v>
      </c>
      <c r="N325" s="1">
        <v>15</v>
      </c>
      <c r="O325" s="1">
        <v>1061</v>
      </c>
      <c r="P325" s="1">
        <v>11.466100000000001</v>
      </c>
      <c r="Q325" s="1">
        <v>22.247</v>
      </c>
      <c r="R325" s="5">
        <v>4.3981481481481481E-4</v>
      </c>
      <c r="S325" s="1">
        <v>9887</v>
      </c>
      <c r="T325" s="6">
        <v>8</v>
      </c>
      <c r="U325" s="1" t="str">
        <f>IF(ISNUMBER(SEARCH("Vande Bharat",Table1[[#This Row],[Video title]])),"Vande Bharat","Other")</f>
        <v>Other</v>
      </c>
    </row>
    <row r="326" spans="1:21" x14ac:dyDescent="0.3">
      <c r="A326" s="4" t="s">
        <v>672</v>
      </c>
      <c r="B326" s="1" t="s">
        <v>673</v>
      </c>
      <c r="C326" s="7">
        <v>44395</v>
      </c>
      <c r="D326" s="1">
        <v>100</v>
      </c>
      <c r="E326" s="1">
        <v>41.47</v>
      </c>
      <c r="F326" s="1">
        <v>0</v>
      </c>
      <c r="G326" s="1">
        <v>0</v>
      </c>
      <c r="H326" s="1">
        <v>38</v>
      </c>
      <c r="I326" s="1">
        <v>1</v>
      </c>
      <c r="J326" s="1">
        <v>97.44</v>
      </c>
      <c r="K326" s="1">
        <v>5</v>
      </c>
      <c r="L326" s="1">
        <v>16</v>
      </c>
      <c r="M326" s="1">
        <v>19.724</v>
      </c>
      <c r="N326" s="1">
        <v>12</v>
      </c>
      <c r="O326" s="1">
        <v>1020</v>
      </c>
      <c r="P326" s="1">
        <v>11.7494</v>
      </c>
      <c r="Q326" s="1">
        <v>20.117999999999999</v>
      </c>
      <c r="R326" s="5">
        <v>4.7453703703703704E-4</v>
      </c>
      <c r="S326" s="1">
        <v>7416</v>
      </c>
      <c r="T326" s="6">
        <v>9.16</v>
      </c>
      <c r="U326" s="1" t="str">
        <f>IF(ISNUMBER(SEARCH("Vande Bharat",Table1[[#This Row],[Video title]])),"Vande Bharat","Other")</f>
        <v>Other</v>
      </c>
    </row>
    <row r="327" spans="1:21" x14ac:dyDescent="0.3">
      <c r="A327" s="4" t="s">
        <v>674</v>
      </c>
      <c r="B327" s="1" t="s">
        <v>675</v>
      </c>
      <c r="C327" s="7">
        <v>44646</v>
      </c>
      <c r="D327" s="1">
        <v>96</v>
      </c>
      <c r="E327" s="1">
        <v>35.619999999999997</v>
      </c>
      <c r="F327" s="1">
        <v>3</v>
      </c>
      <c r="G327" s="1">
        <v>0</v>
      </c>
      <c r="H327" s="1">
        <v>24</v>
      </c>
      <c r="I327" s="1">
        <v>1</v>
      </c>
      <c r="J327" s="1">
        <v>96</v>
      </c>
      <c r="K327" s="1">
        <v>5</v>
      </c>
      <c r="L327" s="1">
        <v>6</v>
      </c>
      <c r="M327" s="1">
        <v>16.943999999999999</v>
      </c>
      <c r="N327" s="1">
        <v>11</v>
      </c>
      <c r="O327" s="1">
        <v>1031</v>
      </c>
      <c r="P327" s="1">
        <v>9.7942</v>
      </c>
      <c r="Q327" s="1">
        <v>17.469000000000001</v>
      </c>
      <c r="R327" s="5">
        <v>3.9351851851851852E-4</v>
      </c>
      <c r="S327" s="1">
        <v>12606</v>
      </c>
      <c r="T327" s="6">
        <v>4.55</v>
      </c>
      <c r="U327" s="1" t="str">
        <f>IF(ISNUMBER(SEARCH("Vande Bharat",Table1[[#This Row],[Video title]])),"Vande Bharat","Other")</f>
        <v>Other</v>
      </c>
    </row>
    <row r="328" spans="1:21" x14ac:dyDescent="0.3">
      <c r="A328" s="4" t="s">
        <v>676</v>
      </c>
      <c r="B328" s="1" t="s">
        <v>677</v>
      </c>
      <c r="C328" s="7">
        <v>44278</v>
      </c>
      <c r="D328" s="1">
        <v>224</v>
      </c>
      <c r="E328" s="1">
        <v>34.06</v>
      </c>
      <c r="F328" s="1">
        <v>4</v>
      </c>
      <c r="G328" s="1">
        <v>1</v>
      </c>
      <c r="H328" s="1">
        <v>37</v>
      </c>
      <c r="I328" s="1">
        <v>3</v>
      </c>
      <c r="J328" s="1">
        <v>92.5</v>
      </c>
      <c r="K328" s="1">
        <v>1</v>
      </c>
      <c r="L328" s="1">
        <v>21</v>
      </c>
      <c r="M328" s="1">
        <v>4.5650000000000004</v>
      </c>
      <c r="N328" s="1">
        <v>11</v>
      </c>
      <c r="O328" s="1">
        <v>1103</v>
      </c>
      <c r="P328" s="1">
        <v>23.373699999999999</v>
      </c>
      <c r="Q328" s="1">
        <v>5.0350000000000001</v>
      </c>
      <c r="R328" s="5">
        <v>8.7962962962962962E-4</v>
      </c>
      <c r="S328" s="1">
        <v>14546</v>
      </c>
      <c r="T328" s="6">
        <v>5.73</v>
      </c>
      <c r="U328" s="1" t="str">
        <f>IF(ISNUMBER(SEARCH("Vande Bharat",Table1[[#This Row],[Video title]])),"Vande Bharat","Other")</f>
        <v>Other</v>
      </c>
    </row>
    <row r="329" spans="1:21" x14ac:dyDescent="0.3">
      <c r="A329" s="4" t="s">
        <v>678</v>
      </c>
      <c r="B329" s="1" t="s">
        <v>679</v>
      </c>
      <c r="C329" s="7">
        <v>44385</v>
      </c>
      <c r="D329" s="1">
        <v>275</v>
      </c>
      <c r="E329" s="1">
        <v>26.46</v>
      </c>
      <c r="F329" s="1">
        <v>1</v>
      </c>
      <c r="G329" s="1">
        <v>0</v>
      </c>
      <c r="H329" s="1">
        <v>44</v>
      </c>
      <c r="I329" s="1">
        <v>1</v>
      </c>
      <c r="J329" s="1">
        <v>97.78</v>
      </c>
      <c r="K329" s="1">
        <v>23</v>
      </c>
      <c r="L329" s="1">
        <v>6</v>
      </c>
      <c r="M329" s="1">
        <v>26.7</v>
      </c>
      <c r="N329" s="1">
        <v>10</v>
      </c>
      <c r="O329" s="1">
        <v>1061</v>
      </c>
      <c r="P329" s="1">
        <v>21.444099999999999</v>
      </c>
      <c r="Q329" s="1">
        <v>28.327999999999999</v>
      </c>
      <c r="R329" s="5">
        <v>8.3333333333333339E-4</v>
      </c>
      <c r="S329" s="1">
        <v>7795</v>
      </c>
      <c r="T329" s="6">
        <v>9.7100000000000009</v>
      </c>
      <c r="U329" s="1" t="str">
        <f>IF(ISNUMBER(SEARCH("Vande Bharat",Table1[[#This Row],[Video title]])),"Vande Bharat","Other")</f>
        <v>Other</v>
      </c>
    </row>
    <row r="330" spans="1:21" x14ac:dyDescent="0.3">
      <c r="A330" s="4" t="s">
        <v>680</v>
      </c>
      <c r="B330" s="1" t="s">
        <v>681</v>
      </c>
      <c r="C330" s="7">
        <v>45020</v>
      </c>
      <c r="D330" s="1">
        <v>1207</v>
      </c>
      <c r="E330" s="1">
        <v>12.24</v>
      </c>
      <c r="F330" s="1">
        <v>4</v>
      </c>
      <c r="G330" s="1">
        <v>0</v>
      </c>
      <c r="H330" s="1">
        <v>33</v>
      </c>
      <c r="I330" s="1">
        <v>2</v>
      </c>
      <c r="J330" s="1">
        <v>94.29</v>
      </c>
      <c r="K330" s="1">
        <v>3</v>
      </c>
      <c r="L330" s="1">
        <v>10</v>
      </c>
      <c r="M330" s="1">
        <v>19.702000000000002</v>
      </c>
      <c r="N330" s="1">
        <v>20</v>
      </c>
      <c r="O330" s="1">
        <v>1206</v>
      </c>
      <c r="P330" s="1">
        <v>49.471800000000002</v>
      </c>
      <c r="Q330" s="1">
        <v>23.760999999999999</v>
      </c>
      <c r="R330" s="5">
        <v>1.7013888888888888E-3</v>
      </c>
      <c r="S330" s="1">
        <v>11815</v>
      </c>
      <c r="T330" s="6">
        <v>8.2899999999999991</v>
      </c>
      <c r="U330" s="1" t="str">
        <f>IF(ISNUMBER(SEARCH("Vande Bharat",Table1[[#This Row],[Video title]])),"Vande Bharat","Other")</f>
        <v>Other</v>
      </c>
    </row>
    <row r="331" spans="1:21" x14ac:dyDescent="0.3">
      <c r="A331" s="4" t="s">
        <v>682</v>
      </c>
      <c r="B331" s="1" t="s">
        <v>683</v>
      </c>
      <c r="C331" s="7">
        <v>44342</v>
      </c>
      <c r="D331" s="1">
        <v>308</v>
      </c>
      <c r="E331" s="1">
        <v>32.07</v>
      </c>
      <c r="F331" s="1">
        <v>2</v>
      </c>
      <c r="G331" s="1">
        <v>0</v>
      </c>
      <c r="H331" s="1">
        <v>55</v>
      </c>
      <c r="I331" s="1">
        <v>1</v>
      </c>
      <c r="J331" s="1">
        <v>98.21</v>
      </c>
      <c r="K331" s="1">
        <v>3</v>
      </c>
      <c r="L331" s="1">
        <v>16</v>
      </c>
      <c r="M331" s="1">
        <v>20.298999999999999</v>
      </c>
      <c r="N331" s="1">
        <v>24</v>
      </c>
      <c r="O331" s="1">
        <v>1052</v>
      </c>
      <c r="P331" s="1">
        <v>28.8645</v>
      </c>
      <c r="Q331" s="1">
        <v>21.355</v>
      </c>
      <c r="R331" s="5">
        <v>1.1342592592592593E-3</v>
      </c>
      <c r="S331" s="1">
        <v>13359</v>
      </c>
      <c r="T331" s="6">
        <v>5.52</v>
      </c>
      <c r="U331" s="1" t="str">
        <f>IF(ISNUMBER(SEARCH("Vande Bharat",Table1[[#This Row],[Video title]])),"Vande Bharat","Other")</f>
        <v>Other</v>
      </c>
    </row>
    <row r="332" spans="1:21" x14ac:dyDescent="0.3">
      <c r="A332" s="4" t="s">
        <v>684</v>
      </c>
      <c r="B332" s="1" t="s">
        <v>685</v>
      </c>
      <c r="C332" s="7">
        <v>45942</v>
      </c>
      <c r="D332" s="1">
        <v>354</v>
      </c>
      <c r="E332" s="1">
        <v>26.49</v>
      </c>
      <c r="F332" s="1">
        <v>1</v>
      </c>
      <c r="G332" s="1">
        <v>1</v>
      </c>
      <c r="H332" s="1">
        <v>28</v>
      </c>
      <c r="I332" s="1">
        <v>2</v>
      </c>
      <c r="J332" s="1">
        <v>93.33</v>
      </c>
      <c r="K332" s="1">
        <v>9</v>
      </c>
      <c r="L332" s="1">
        <v>10</v>
      </c>
      <c r="M332" s="1">
        <v>14.451000000000001</v>
      </c>
      <c r="N332" s="1">
        <v>52</v>
      </c>
      <c r="O332" s="1">
        <v>1072</v>
      </c>
      <c r="P332" s="1">
        <v>27.925699999999999</v>
      </c>
      <c r="Q332" s="1">
        <v>15.484</v>
      </c>
      <c r="R332" s="5">
        <v>1.0763888888888889E-3</v>
      </c>
      <c r="S332" s="1">
        <v>10577</v>
      </c>
      <c r="T332" s="6">
        <v>7.98</v>
      </c>
      <c r="U332" s="1" t="str">
        <f>IF(ISNUMBER(SEARCH("Vande Bharat",Table1[[#This Row],[Video title]])),"Vande Bharat","Other")</f>
        <v>Other</v>
      </c>
    </row>
    <row r="333" spans="1:21" x14ac:dyDescent="0.3">
      <c r="A333" s="4" t="s">
        <v>686</v>
      </c>
      <c r="B333" s="1" t="s">
        <v>687</v>
      </c>
      <c r="C333" s="7">
        <v>44399</v>
      </c>
      <c r="D333" s="1">
        <v>2158</v>
      </c>
      <c r="E333" s="1">
        <v>12.03</v>
      </c>
      <c r="F333" s="1">
        <v>7</v>
      </c>
      <c r="G333" s="1">
        <v>1</v>
      </c>
      <c r="H333" s="1">
        <v>42</v>
      </c>
      <c r="I333" s="1">
        <v>3</v>
      </c>
      <c r="J333" s="1">
        <v>93.33</v>
      </c>
      <c r="K333" s="1">
        <v>2</v>
      </c>
      <c r="L333" s="1">
        <v>12</v>
      </c>
      <c r="M333" s="1">
        <v>29.655999999999999</v>
      </c>
      <c r="N333" s="1">
        <v>19</v>
      </c>
      <c r="O333" s="1">
        <v>1203</v>
      </c>
      <c r="P333" s="1">
        <v>86.787300000000002</v>
      </c>
      <c r="Q333" s="1">
        <v>35.676000000000002</v>
      </c>
      <c r="R333" s="5">
        <v>2.9976851851851853E-3</v>
      </c>
      <c r="S333" s="1">
        <v>16130</v>
      </c>
      <c r="T333" s="6">
        <v>4.58</v>
      </c>
      <c r="U333" s="1" t="str">
        <f>IF(ISNUMBER(SEARCH("Vande Bharat",Table1[[#This Row],[Video title]])),"Vande Bharat","Other")</f>
        <v>Other</v>
      </c>
    </row>
    <row r="334" spans="1:21" x14ac:dyDescent="0.3">
      <c r="A334" s="4" t="s">
        <v>856</v>
      </c>
      <c r="B334" s="1" t="s">
        <v>857</v>
      </c>
      <c r="C334" s="7">
        <v>45059</v>
      </c>
      <c r="D334" s="1">
        <v>55</v>
      </c>
      <c r="E334" s="1">
        <v>51.89</v>
      </c>
      <c r="F334" s="1">
        <v>3</v>
      </c>
      <c r="G334" s="1">
        <v>0</v>
      </c>
      <c r="H334" s="1">
        <v>22</v>
      </c>
      <c r="I334" s="1">
        <v>2</v>
      </c>
      <c r="J334" s="1">
        <v>91.67</v>
      </c>
      <c r="K334" s="1">
        <v>5</v>
      </c>
      <c r="L334" s="1">
        <v>5</v>
      </c>
      <c r="M334" s="1">
        <v>15.666</v>
      </c>
      <c r="N334" s="1">
        <v>29</v>
      </c>
      <c r="O334" s="1">
        <v>721</v>
      </c>
      <c r="P334" s="1">
        <v>5.7163000000000004</v>
      </c>
      <c r="Q334" s="1">
        <v>11.295</v>
      </c>
      <c r="R334" s="5">
        <v>3.2407407407407406E-4</v>
      </c>
      <c r="S334" s="1">
        <v>8372</v>
      </c>
      <c r="T334" s="6">
        <v>6.94</v>
      </c>
      <c r="U334" s="1" t="str">
        <f>IF(ISNUMBER(SEARCH("Vande Bharat",Table1[[#This Row],[Video title]])),"Vande Bharat","Other")</f>
        <v>Vande Bharat</v>
      </c>
    </row>
    <row r="335" spans="1:21" x14ac:dyDescent="0.3">
      <c r="A335" s="4" t="s">
        <v>690</v>
      </c>
      <c r="B335" s="1" t="s">
        <v>691</v>
      </c>
      <c r="C335" s="7">
        <v>45144</v>
      </c>
      <c r="D335" s="1">
        <v>646</v>
      </c>
      <c r="E335" s="1">
        <v>21.04</v>
      </c>
      <c r="F335" s="1">
        <v>3</v>
      </c>
      <c r="G335" s="1">
        <v>0</v>
      </c>
      <c r="H335" s="1">
        <v>19</v>
      </c>
      <c r="I335" s="1">
        <v>1</v>
      </c>
      <c r="J335" s="1">
        <v>95</v>
      </c>
      <c r="K335" s="1">
        <v>7</v>
      </c>
      <c r="L335" s="1">
        <v>3</v>
      </c>
      <c r="M335" s="1">
        <v>32.933</v>
      </c>
      <c r="N335" s="1">
        <v>146</v>
      </c>
      <c r="O335" s="1">
        <v>1291</v>
      </c>
      <c r="P335" s="1">
        <v>48.735599999999998</v>
      </c>
      <c r="Q335" s="1">
        <v>42.435000000000002</v>
      </c>
      <c r="R335" s="5">
        <v>1.5625000000000001E-3</v>
      </c>
      <c r="S335" s="1">
        <v>13772</v>
      </c>
      <c r="T335" s="6">
        <v>6.99</v>
      </c>
      <c r="U335" s="1" t="str">
        <f>IF(ISNUMBER(SEARCH("Vande Bharat",Table1[[#This Row],[Video title]])),"Vande Bharat","Other")</f>
        <v>Other</v>
      </c>
    </row>
    <row r="336" spans="1:21" x14ac:dyDescent="0.3">
      <c r="A336" s="4" t="s">
        <v>114</v>
      </c>
      <c r="B336" s="1" t="s">
        <v>115</v>
      </c>
      <c r="C336" s="7">
        <v>45038</v>
      </c>
      <c r="D336" s="1">
        <v>944</v>
      </c>
      <c r="E336" s="1">
        <v>14.3</v>
      </c>
      <c r="F336" s="1">
        <v>18</v>
      </c>
      <c r="G336" s="1">
        <v>0</v>
      </c>
      <c r="H336" s="1">
        <v>74</v>
      </c>
      <c r="I336" s="1">
        <v>4</v>
      </c>
      <c r="J336" s="1">
        <v>94.87</v>
      </c>
      <c r="K336" s="1">
        <v>16</v>
      </c>
      <c r="L336" s="1">
        <v>8</v>
      </c>
      <c r="M336" s="1">
        <v>37.673999999999999</v>
      </c>
      <c r="N336" s="1">
        <v>246</v>
      </c>
      <c r="O336" s="1">
        <v>6706</v>
      </c>
      <c r="P336" s="1">
        <v>251.44540000000001</v>
      </c>
      <c r="Q336" s="1">
        <v>252.57599999999999</v>
      </c>
      <c r="R336" s="5">
        <v>1.5509259259259259E-3</v>
      </c>
      <c r="S336" s="1">
        <v>49608</v>
      </c>
      <c r="T336" s="6">
        <v>11.72</v>
      </c>
      <c r="U336" s="1" t="str">
        <f>IF(ISNUMBER(SEARCH("Vande Bharat",Table1[[#This Row],[Video title]])),"Vande Bharat","Other")</f>
        <v>Vande Bharat</v>
      </c>
    </row>
    <row r="337" spans="1:21" x14ac:dyDescent="0.3">
      <c r="A337" s="4" t="s">
        <v>694</v>
      </c>
      <c r="B337" s="1" t="s">
        <v>695</v>
      </c>
      <c r="C337" s="7">
        <v>45575</v>
      </c>
      <c r="D337" s="1">
        <v>137</v>
      </c>
      <c r="E337" s="1">
        <v>36.020000000000003</v>
      </c>
      <c r="F337" s="1">
        <v>2</v>
      </c>
      <c r="G337" s="1">
        <v>0</v>
      </c>
      <c r="H337" s="1">
        <v>20</v>
      </c>
      <c r="I337" s="1">
        <v>4</v>
      </c>
      <c r="J337" s="1">
        <v>83.33</v>
      </c>
      <c r="K337" s="1">
        <v>6</v>
      </c>
      <c r="L337" s="1">
        <v>2</v>
      </c>
      <c r="M337" s="1">
        <v>15.914999999999999</v>
      </c>
      <c r="N337" s="1">
        <v>8</v>
      </c>
      <c r="O337" s="1">
        <v>1064</v>
      </c>
      <c r="P337" s="1">
        <v>14.5868</v>
      </c>
      <c r="Q337" s="1">
        <v>16.934000000000001</v>
      </c>
      <c r="R337" s="5">
        <v>5.6712962962962967E-4</v>
      </c>
      <c r="S337" s="1">
        <v>11552</v>
      </c>
      <c r="T337" s="6">
        <v>7.81</v>
      </c>
      <c r="U337" s="1" t="str">
        <f>IF(ISNUMBER(SEARCH("Vande Bharat",Table1[[#This Row],[Video title]])),"Vande Bharat","Other")</f>
        <v>Other</v>
      </c>
    </row>
    <row r="338" spans="1:21" x14ac:dyDescent="0.3">
      <c r="A338" s="4" t="s">
        <v>696</v>
      </c>
      <c r="B338" s="1" t="s">
        <v>697</v>
      </c>
      <c r="C338" s="7">
        <v>44590</v>
      </c>
      <c r="D338" s="1">
        <v>445</v>
      </c>
      <c r="E338" s="1">
        <v>19.84</v>
      </c>
      <c r="F338" s="1">
        <v>2</v>
      </c>
      <c r="G338" s="1">
        <v>0</v>
      </c>
      <c r="H338" s="1">
        <v>31</v>
      </c>
      <c r="I338" s="1">
        <v>2</v>
      </c>
      <c r="J338" s="1">
        <v>93.94</v>
      </c>
      <c r="K338" s="1">
        <v>5</v>
      </c>
      <c r="L338" s="1">
        <v>9</v>
      </c>
      <c r="M338" s="1">
        <v>13.954000000000001</v>
      </c>
      <c r="N338" s="1">
        <v>15</v>
      </c>
      <c r="O338" s="1">
        <v>1010</v>
      </c>
      <c r="P338" s="1">
        <v>24.767299999999999</v>
      </c>
      <c r="Q338" s="1">
        <v>14.093999999999999</v>
      </c>
      <c r="R338" s="5">
        <v>1.0185185185185184E-3</v>
      </c>
      <c r="S338" s="1">
        <v>8966</v>
      </c>
      <c r="T338" s="6">
        <v>7.2</v>
      </c>
      <c r="U338" s="1" t="str">
        <f>IF(ISNUMBER(SEARCH("Vande Bharat",Table1[[#This Row],[Video title]])),"Vande Bharat","Other")</f>
        <v>Other</v>
      </c>
    </row>
    <row r="339" spans="1:21" x14ac:dyDescent="0.3">
      <c r="A339" s="4" t="s">
        <v>698</v>
      </c>
      <c r="B339" s="1" t="s">
        <v>699</v>
      </c>
      <c r="C339" s="7">
        <v>44425</v>
      </c>
      <c r="D339" s="1">
        <v>222</v>
      </c>
      <c r="E339" s="1">
        <v>29.61</v>
      </c>
      <c r="F339" s="1">
        <v>4</v>
      </c>
      <c r="G339" s="1">
        <v>0</v>
      </c>
      <c r="H339" s="1">
        <v>46</v>
      </c>
      <c r="I339" s="1">
        <v>8</v>
      </c>
      <c r="J339" s="1">
        <v>85.19</v>
      </c>
      <c r="K339" s="1">
        <v>2</v>
      </c>
      <c r="L339" s="1">
        <v>11</v>
      </c>
      <c r="M339" s="1">
        <v>26.788</v>
      </c>
      <c r="N339" s="1">
        <v>13</v>
      </c>
      <c r="O339" s="1">
        <v>1016</v>
      </c>
      <c r="P339" s="1">
        <v>18.549600000000002</v>
      </c>
      <c r="Q339" s="1">
        <v>27.216999999999999</v>
      </c>
      <c r="R339" s="5">
        <v>7.5231481481481482E-4</v>
      </c>
      <c r="S339" s="1">
        <v>7637</v>
      </c>
      <c r="T339" s="6">
        <v>9.09</v>
      </c>
      <c r="U339" s="1" t="str">
        <f>IF(ISNUMBER(SEARCH("Vande Bharat",Table1[[#This Row],[Video title]])),"Vande Bharat","Other")</f>
        <v>Other</v>
      </c>
    </row>
    <row r="340" spans="1:21" x14ac:dyDescent="0.3">
      <c r="A340" s="4" t="s">
        <v>700</v>
      </c>
      <c r="B340" s="1" t="s">
        <v>701</v>
      </c>
      <c r="C340" s="7">
        <v>46175</v>
      </c>
      <c r="D340" s="1">
        <v>22</v>
      </c>
      <c r="E340" s="1">
        <v>63.08</v>
      </c>
      <c r="F340" s="1">
        <v>2</v>
      </c>
      <c r="G340" s="1">
        <v>0</v>
      </c>
      <c r="H340" s="1">
        <v>28</v>
      </c>
      <c r="I340" s="1">
        <v>0</v>
      </c>
      <c r="J340" s="1">
        <v>100</v>
      </c>
      <c r="K340" s="1">
        <v>0</v>
      </c>
      <c r="L340" s="1">
        <v>0</v>
      </c>
      <c r="M340" s="1">
        <v>1.0249999999999999</v>
      </c>
      <c r="N340" s="1">
        <v>106</v>
      </c>
      <c r="O340" s="1">
        <v>1744</v>
      </c>
      <c r="P340" s="1">
        <v>3.7237</v>
      </c>
      <c r="Q340" s="1">
        <v>1.0109999999999999</v>
      </c>
      <c r="R340" s="5">
        <v>1.5046296296296297E-4</v>
      </c>
      <c r="S340" s="1">
        <v>442</v>
      </c>
      <c r="T340" s="6">
        <v>2.04</v>
      </c>
      <c r="U340" s="1" t="str">
        <f>IF(ISNUMBER(SEARCH("Vande Bharat",Table1[[#This Row],[Video title]])),"Vande Bharat","Other")</f>
        <v>Other</v>
      </c>
    </row>
    <row r="341" spans="1:21" x14ac:dyDescent="0.3">
      <c r="A341" s="4" t="s">
        <v>702</v>
      </c>
      <c r="B341" s="1" t="s">
        <v>703</v>
      </c>
      <c r="C341" s="7">
        <v>44413</v>
      </c>
      <c r="D341" s="1">
        <v>429</v>
      </c>
      <c r="E341" s="1">
        <v>26.73</v>
      </c>
      <c r="F341" s="1">
        <v>2</v>
      </c>
      <c r="G341" s="1">
        <v>1</v>
      </c>
      <c r="H341" s="1">
        <v>56</v>
      </c>
      <c r="I341" s="1">
        <v>3</v>
      </c>
      <c r="J341" s="1">
        <v>94.92</v>
      </c>
      <c r="K341" s="1">
        <v>3</v>
      </c>
      <c r="L341" s="1">
        <v>16</v>
      </c>
      <c r="M341" s="1">
        <v>27.37</v>
      </c>
      <c r="N341" s="1">
        <v>23</v>
      </c>
      <c r="O341" s="1">
        <v>1015</v>
      </c>
      <c r="P341" s="1">
        <v>32.261699999999998</v>
      </c>
      <c r="Q341" s="1">
        <v>27.780999999999999</v>
      </c>
      <c r="R341" s="5">
        <v>1.3194444444444445E-3</v>
      </c>
      <c r="S341" s="1">
        <v>10421</v>
      </c>
      <c r="T341" s="6">
        <v>6.65</v>
      </c>
      <c r="U341" s="1" t="str">
        <f>IF(ISNUMBER(SEARCH("Vande Bharat",Table1[[#This Row],[Video title]])),"Vande Bharat","Other")</f>
        <v>Other</v>
      </c>
    </row>
    <row r="342" spans="1:21" x14ac:dyDescent="0.3">
      <c r="A342" s="4" t="s">
        <v>704</v>
      </c>
      <c r="B342" s="1" t="s">
        <v>705</v>
      </c>
      <c r="C342" s="7">
        <v>44717</v>
      </c>
      <c r="D342" s="1">
        <v>76</v>
      </c>
      <c r="E342" s="1">
        <v>45.82</v>
      </c>
      <c r="F342" s="1">
        <v>2</v>
      </c>
      <c r="G342" s="1">
        <v>2</v>
      </c>
      <c r="H342" s="1">
        <v>55</v>
      </c>
      <c r="I342" s="1">
        <v>2</v>
      </c>
      <c r="J342" s="1">
        <v>96.49</v>
      </c>
      <c r="K342" s="1">
        <v>7</v>
      </c>
      <c r="L342" s="1">
        <v>17</v>
      </c>
      <c r="M342" s="1">
        <v>19.324999999999999</v>
      </c>
      <c r="N342" s="1">
        <v>30</v>
      </c>
      <c r="O342" s="1">
        <v>988</v>
      </c>
      <c r="P342" s="1">
        <v>9.5577000000000005</v>
      </c>
      <c r="Q342" s="1">
        <v>19.093</v>
      </c>
      <c r="R342" s="5">
        <v>3.9351851851851852E-4</v>
      </c>
      <c r="S342" s="1">
        <v>8961</v>
      </c>
      <c r="T342" s="6">
        <v>8.5399999999999991</v>
      </c>
      <c r="U342" s="1" t="str">
        <f>IF(ISNUMBER(SEARCH("Vande Bharat",Table1[[#This Row],[Video title]])),"Vande Bharat","Other")</f>
        <v>Other</v>
      </c>
    </row>
    <row r="343" spans="1:21" x14ac:dyDescent="0.3">
      <c r="A343" s="4" t="s">
        <v>706</v>
      </c>
      <c r="B343" s="1" t="s">
        <v>593</v>
      </c>
      <c r="C343" s="7">
        <v>44280</v>
      </c>
      <c r="D343" s="1">
        <v>202</v>
      </c>
      <c r="E343" s="1">
        <v>40.01</v>
      </c>
      <c r="F343" s="1">
        <v>2</v>
      </c>
      <c r="G343" s="1">
        <v>0</v>
      </c>
      <c r="H343" s="1">
        <v>42</v>
      </c>
      <c r="I343" s="1">
        <v>1</v>
      </c>
      <c r="J343" s="1">
        <v>97.67</v>
      </c>
      <c r="K343" s="1">
        <v>2</v>
      </c>
      <c r="L343" s="1">
        <v>15</v>
      </c>
      <c r="M343" s="1">
        <v>0.189</v>
      </c>
      <c r="N343" s="1">
        <v>26</v>
      </c>
      <c r="O343" s="1">
        <v>1051</v>
      </c>
      <c r="P343" s="1">
        <v>23.593299999999999</v>
      </c>
      <c r="Q343" s="1">
        <v>0.19900000000000001</v>
      </c>
      <c r="R343" s="5">
        <v>9.2592592592592596E-4</v>
      </c>
      <c r="S343" s="1">
        <v>11381</v>
      </c>
      <c r="T343" s="6">
        <v>6.48</v>
      </c>
      <c r="U343" s="1" t="str">
        <f>IF(ISNUMBER(SEARCH("Vande Bharat",Table1[[#This Row],[Video title]])),"Vande Bharat","Other")</f>
        <v>Other</v>
      </c>
    </row>
    <row r="344" spans="1:21" x14ac:dyDescent="0.3">
      <c r="A344" s="4" t="s">
        <v>707</v>
      </c>
      <c r="B344" s="1" t="s">
        <v>708</v>
      </c>
      <c r="C344" s="7">
        <v>44347</v>
      </c>
      <c r="D344" s="1">
        <v>73</v>
      </c>
      <c r="E344" s="1">
        <v>54.12</v>
      </c>
      <c r="F344" s="1">
        <v>3</v>
      </c>
      <c r="G344" s="1">
        <v>0</v>
      </c>
      <c r="H344" s="1">
        <v>43</v>
      </c>
      <c r="I344" s="1">
        <v>3</v>
      </c>
      <c r="J344" s="1">
        <v>93.48</v>
      </c>
      <c r="K344" s="1">
        <v>2</v>
      </c>
      <c r="L344" s="1">
        <v>14</v>
      </c>
      <c r="M344" s="1">
        <v>16.54</v>
      </c>
      <c r="N344" s="1">
        <v>21</v>
      </c>
      <c r="O344" s="1">
        <v>967</v>
      </c>
      <c r="P344" s="1">
        <v>10.6114</v>
      </c>
      <c r="Q344" s="1">
        <v>15.994</v>
      </c>
      <c r="R344" s="5">
        <v>4.5138888888888887E-4</v>
      </c>
      <c r="S344" s="1">
        <v>7825</v>
      </c>
      <c r="T344" s="6">
        <v>9.33</v>
      </c>
      <c r="U344" s="1" t="str">
        <f>IF(ISNUMBER(SEARCH("Vande Bharat",Table1[[#This Row],[Video title]])),"Vande Bharat","Other")</f>
        <v>Other</v>
      </c>
    </row>
    <row r="345" spans="1:21" x14ac:dyDescent="0.3">
      <c r="A345" s="4" t="s">
        <v>709</v>
      </c>
      <c r="B345" s="1" t="s">
        <v>710</v>
      </c>
      <c r="C345" s="7">
        <v>45477</v>
      </c>
      <c r="D345" s="1">
        <v>26</v>
      </c>
      <c r="E345" s="1">
        <v>62.76</v>
      </c>
      <c r="F345" s="1">
        <v>5</v>
      </c>
      <c r="G345" s="1">
        <v>1</v>
      </c>
      <c r="H345" s="1">
        <v>23</v>
      </c>
      <c r="I345" s="1">
        <v>2</v>
      </c>
      <c r="J345" s="1">
        <v>92</v>
      </c>
      <c r="K345" s="1">
        <v>3</v>
      </c>
      <c r="L345" s="1">
        <v>1</v>
      </c>
      <c r="M345" s="1">
        <v>0.48299999999999998</v>
      </c>
      <c r="N345" s="1">
        <v>34</v>
      </c>
      <c r="O345" s="1">
        <v>1699</v>
      </c>
      <c r="P345" s="1">
        <v>5.2401</v>
      </c>
      <c r="Q345" s="1">
        <v>0.53800000000000003</v>
      </c>
      <c r="R345" s="5">
        <v>1.8518518518518518E-4</v>
      </c>
      <c r="S345" s="1">
        <v>6994</v>
      </c>
      <c r="T345" s="6">
        <v>2.57</v>
      </c>
      <c r="U345" s="1" t="str">
        <f>IF(ISNUMBER(SEARCH("Vande Bharat",Table1[[#This Row],[Video title]])),"Vande Bharat","Other")</f>
        <v>Other</v>
      </c>
    </row>
    <row r="346" spans="1:21" x14ac:dyDescent="0.3">
      <c r="A346" s="4" t="s">
        <v>711</v>
      </c>
      <c r="B346" s="1" t="s">
        <v>712</v>
      </c>
      <c r="C346" s="7">
        <v>44600</v>
      </c>
      <c r="D346" s="1">
        <v>189</v>
      </c>
      <c r="E346" s="1">
        <v>28.96</v>
      </c>
      <c r="F346" s="1">
        <v>5</v>
      </c>
      <c r="G346" s="1">
        <v>0</v>
      </c>
      <c r="H346" s="1">
        <v>42</v>
      </c>
      <c r="I346" s="1">
        <v>0</v>
      </c>
      <c r="J346" s="1">
        <v>100</v>
      </c>
      <c r="K346" s="1">
        <v>4</v>
      </c>
      <c r="L346" s="1">
        <v>8</v>
      </c>
      <c r="M346" s="1">
        <v>30.123000000000001</v>
      </c>
      <c r="N346" s="1">
        <v>20</v>
      </c>
      <c r="O346" s="1">
        <v>1028</v>
      </c>
      <c r="P346" s="1">
        <v>15.6295</v>
      </c>
      <c r="Q346" s="1">
        <v>30.966000000000001</v>
      </c>
      <c r="R346" s="5">
        <v>6.2500000000000001E-4</v>
      </c>
      <c r="S346" s="1">
        <v>6647</v>
      </c>
      <c r="T346" s="6">
        <v>9.76</v>
      </c>
      <c r="U346" s="1" t="str">
        <f>IF(ISNUMBER(SEARCH("Vande Bharat",Table1[[#This Row],[Video title]])),"Vande Bharat","Other")</f>
        <v>Other</v>
      </c>
    </row>
    <row r="347" spans="1:21" x14ac:dyDescent="0.3">
      <c r="A347" s="4" t="s">
        <v>713</v>
      </c>
      <c r="B347" s="1" t="s">
        <v>714</v>
      </c>
      <c r="C347" s="7">
        <v>44308</v>
      </c>
      <c r="D347" s="1">
        <v>219</v>
      </c>
      <c r="E347" s="1">
        <v>39.369999999999997</v>
      </c>
      <c r="F347" s="1">
        <v>2</v>
      </c>
      <c r="G347" s="1">
        <v>1</v>
      </c>
      <c r="H347" s="1">
        <v>41</v>
      </c>
      <c r="I347" s="1">
        <v>2</v>
      </c>
      <c r="J347" s="1">
        <v>95.35</v>
      </c>
      <c r="K347" s="1">
        <v>2</v>
      </c>
      <c r="L347" s="1">
        <v>14</v>
      </c>
      <c r="M347" s="1">
        <v>25.102</v>
      </c>
      <c r="N347" s="1">
        <v>18</v>
      </c>
      <c r="O347" s="1">
        <v>974</v>
      </c>
      <c r="P347" s="1">
        <v>23.3249</v>
      </c>
      <c r="Q347" s="1">
        <v>24.449000000000002</v>
      </c>
      <c r="R347" s="5">
        <v>9.9537037037037042E-4</v>
      </c>
      <c r="S347" s="1">
        <v>9839</v>
      </c>
      <c r="T347" s="6">
        <v>7.08</v>
      </c>
      <c r="U347" s="1" t="str">
        <f>IF(ISNUMBER(SEARCH("Vande Bharat",Table1[[#This Row],[Video title]])),"Vande Bharat","Other")</f>
        <v>Other</v>
      </c>
    </row>
    <row r="348" spans="1:21" x14ac:dyDescent="0.3">
      <c r="A348" s="4" t="s">
        <v>715</v>
      </c>
      <c r="B348" s="1" t="s">
        <v>716</v>
      </c>
      <c r="C348" s="7">
        <v>44754</v>
      </c>
      <c r="D348" s="1">
        <v>90</v>
      </c>
      <c r="E348" s="1">
        <v>44.12</v>
      </c>
      <c r="F348" s="1">
        <v>3</v>
      </c>
      <c r="G348" s="1">
        <v>0</v>
      </c>
      <c r="H348" s="1">
        <v>24</v>
      </c>
      <c r="I348" s="1">
        <v>2</v>
      </c>
      <c r="J348" s="1">
        <v>92.31</v>
      </c>
      <c r="K348" s="1">
        <v>1</v>
      </c>
      <c r="L348" s="1">
        <v>13</v>
      </c>
      <c r="M348" s="1">
        <v>13.659000000000001</v>
      </c>
      <c r="N348" s="1">
        <v>7</v>
      </c>
      <c r="O348" s="1">
        <v>940</v>
      </c>
      <c r="P348" s="1">
        <v>10.369199999999999</v>
      </c>
      <c r="Q348" s="1">
        <v>12.839</v>
      </c>
      <c r="R348" s="5">
        <v>4.5138888888888887E-4</v>
      </c>
      <c r="S348" s="1">
        <v>15882</v>
      </c>
      <c r="T348" s="6">
        <v>5.14</v>
      </c>
      <c r="U348" s="1" t="str">
        <f>IF(ISNUMBER(SEARCH("Vande Bharat",Table1[[#This Row],[Video title]])),"Vande Bharat","Other")</f>
        <v>Other</v>
      </c>
    </row>
    <row r="349" spans="1:21" x14ac:dyDescent="0.3">
      <c r="A349" s="4" t="s">
        <v>717</v>
      </c>
      <c r="B349" s="1" t="s">
        <v>718</v>
      </c>
      <c r="C349" s="7">
        <v>44740</v>
      </c>
      <c r="D349" s="1">
        <v>63</v>
      </c>
      <c r="E349" s="1">
        <v>44.62</v>
      </c>
      <c r="F349" s="1">
        <v>1</v>
      </c>
      <c r="G349" s="1">
        <v>0</v>
      </c>
      <c r="H349" s="1">
        <v>22</v>
      </c>
      <c r="I349" s="1">
        <v>0</v>
      </c>
      <c r="J349" s="1">
        <v>100</v>
      </c>
      <c r="K349" s="1">
        <v>1</v>
      </c>
      <c r="L349" s="1">
        <v>5</v>
      </c>
      <c r="M349" s="1">
        <v>12.721</v>
      </c>
      <c r="N349" s="1">
        <v>31</v>
      </c>
      <c r="O349" s="1">
        <v>964</v>
      </c>
      <c r="P349" s="1">
        <v>7.5279999999999996</v>
      </c>
      <c r="Q349" s="1">
        <v>12.263</v>
      </c>
      <c r="R349" s="5">
        <v>3.2407407407407406E-4</v>
      </c>
      <c r="S349" s="1">
        <v>7642</v>
      </c>
      <c r="T349" s="6">
        <v>10.8</v>
      </c>
      <c r="U349" s="1" t="str">
        <f>IF(ISNUMBER(SEARCH("Vande Bharat",Table1[[#This Row],[Video title]])),"Vande Bharat","Other")</f>
        <v>Other</v>
      </c>
    </row>
    <row r="350" spans="1:21" x14ac:dyDescent="0.3">
      <c r="A350" s="4" t="s">
        <v>719</v>
      </c>
      <c r="B350" s="1" t="s">
        <v>720</v>
      </c>
      <c r="C350" s="7">
        <v>45331</v>
      </c>
      <c r="D350" s="1">
        <v>95</v>
      </c>
      <c r="E350" s="1">
        <v>39.53</v>
      </c>
      <c r="F350" s="1">
        <v>1</v>
      </c>
      <c r="G350" s="1">
        <v>0</v>
      </c>
      <c r="H350" s="1">
        <v>23</v>
      </c>
      <c r="I350" s="1">
        <v>0</v>
      </c>
      <c r="J350" s="1">
        <v>100</v>
      </c>
      <c r="K350" s="1">
        <v>6</v>
      </c>
      <c r="L350" s="1">
        <v>3</v>
      </c>
      <c r="M350" s="1">
        <v>13.113</v>
      </c>
      <c r="N350" s="1">
        <v>23</v>
      </c>
      <c r="O350" s="1">
        <v>1147</v>
      </c>
      <c r="P350" s="1">
        <v>11.9649</v>
      </c>
      <c r="Q350" s="1">
        <v>15.028</v>
      </c>
      <c r="R350" s="5">
        <v>4.2824074074074075E-4</v>
      </c>
      <c r="S350" s="1">
        <v>9235</v>
      </c>
      <c r="T350" s="6">
        <v>10.46</v>
      </c>
      <c r="U350" s="1" t="str">
        <f>IF(ISNUMBER(SEARCH("Vande Bharat",Table1[[#This Row],[Video title]])),"Vande Bharat","Other")</f>
        <v>Other</v>
      </c>
    </row>
    <row r="351" spans="1:21" x14ac:dyDescent="0.3">
      <c r="A351" s="4" t="s">
        <v>721</v>
      </c>
      <c r="B351" s="1" t="s">
        <v>722</v>
      </c>
      <c r="C351" s="7">
        <v>44920</v>
      </c>
      <c r="D351" s="1">
        <v>35</v>
      </c>
      <c r="E351" s="1">
        <v>63.7</v>
      </c>
      <c r="F351" s="1">
        <v>2</v>
      </c>
      <c r="G351" s="1">
        <v>0</v>
      </c>
      <c r="H351" s="1">
        <v>25</v>
      </c>
      <c r="I351" s="1">
        <v>0</v>
      </c>
      <c r="J351" s="1">
        <v>100</v>
      </c>
      <c r="K351" s="1">
        <v>0</v>
      </c>
      <c r="L351" s="1">
        <v>5</v>
      </c>
      <c r="M351" s="1">
        <v>17.526</v>
      </c>
      <c r="N351" s="1">
        <v>44</v>
      </c>
      <c r="O351" s="1">
        <v>980</v>
      </c>
      <c r="P351" s="1">
        <v>6.069</v>
      </c>
      <c r="Q351" s="1">
        <v>17.175999999999998</v>
      </c>
      <c r="R351" s="5">
        <v>2.5462962962962961E-4</v>
      </c>
      <c r="S351" s="1">
        <v>6522</v>
      </c>
      <c r="T351" s="6">
        <v>13.51</v>
      </c>
      <c r="U351" s="1" t="str">
        <f>IF(ISNUMBER(SEARCH("Vande Bharat",Table1[[#This Row],[Video title]])),"Vande Bharat","Other")</f>
        <v>Other</v>
      </c>
    </row>
    <row r="352" spans="1:21" x14ac:dyDescent="0.3">
      <c r="A352" s="4" t="s">
        <v>572</v>
      </c>
      <c r="B352" s="1" t="s">
        <v>573</v>
      </c>
      <c r="C352" s="7">
        <v>45027</v>
      </c>
      <c r="D352" s="1">
        <v>85</v>
      </c>
      <c r="E352" s="1">
        <v>42.84</v>
      </c>
      <c r="F352" s="1">
        <v>0</v>
      </c>
      <c r="G352" s="1">
        <v>0</v>
      </c>
      <c r="H352" s="1">
        <v>24</v>
      </c>
      <c r="I352" s="1">
        <v>0</v>
      </c>
      <c r="J352" s="1">
        <v>100</v>
      </c>
      <c r="K352" s="1">
        <v>2</v>
      </c>
      <c r="L352" s="1">
        <v>4</v>
      </c>
      <c r="M352" s="1">
        <v>12.073</v>
      </c>
      <c r="N352" s="1">
        <v>61</v>
      </c>
      <c r="O352" s="1">
        <v>1184</v>
      </c>
      <c r="P352" s="1">
        <v>11.9758</v>
      </c>
      <c r="Q352" s="1">
        <v>14.294</v>
      </c>
      <c r="R352" s="5">
        <v>4.1666666666666669E-4</v>
      </c>
      <c r="S352" s="1">
        <v>10686</v>
      </c>
      <c r="T352" s="6">
        <v>9.75</v>
      </c>
      <c r="U352" s="1" t="str">
        <f>IF(ISNUMBER(SEARCH("Vande Bharat",Table1[[#This Row],[Video title]])),"Vande Bharat","Other")</f>
        <v>Vande Bharat</v>
      </c>
    </row>
    <row r="353" spans="1:21" x14ac:dyDescent="0.3">
      <c r="A353" s="4" t="s">
        <v>724</v>
      </c>
      <c r="B353" s="1" t="s">
        <v>725</v>
      </c>
      <c r="C353" s="7">
        <v>45496</v>
      </c>
      <c r="D353" s="1">
        <v>66</v>
      </c>
      <c r="E353" s="1">
        <v>55.88</v>
      </c>
      <c r="F353" s="1">
        <v>0</v>
      </c>
      <c r="G353" s="1">
        <v>0</v>
      </c>
      <c r="H353" s="1">
        <v>22</v>
      </c>
      <c r="I353" s="1">
        <v>0</v>
      </c>
      <c r="J353" s="1">
        <v>100</v>
      </c>
      <c r="K353" s="1">
        <v>7</v>
      </c>
      <c r="L353" s="1">
        <v>3</v>
      </c>
      <c r="M353" s="1">
        <v>17.413</v>
      </c>
      <c r="N353" s="1">
        <v>46</v>
      </c>
      <c r="O353" s="1">
        <v>996</v>
      </c>
      <c r="P353" s="1">
        <v>10.2034</v>
      </c>
      <c r="Q353" s="1">
        <v>17.317</v>
      </c>
      <c r="R353" s="5">
        <v>4.1666666666666669E-4</v>
      </c>
      <c r="S353" s="1">
        <v>6787</v>
      </c>
      <c r="T353" s="6">
        <v>12.13</v>
      </c>
      <c r="U353" s="1" t="str">
        <f>IF(ISNUMBER(SEARCH("Vande Bharat",Table1[[#This Row],[Video title]])),"Vande Bharat","Other")</f>
        <v>Other</v>
      </c>
    </row>
    <row r="354" spans="1:21" x14ac:dyDescent="0.3">
      <c r="A354" s="4" t="s">
        <v>726</v>
      </c>
      <c r="B354" s="1" t="s">
        <v>727</v>
      </c>
      <c r="C354" s="7">
        <v>44321</v>
      </c>
      <c r="D354" s="1">
        <v>90</v>
      </c>
      <c r="E354" s="1">
        <v>43.08</v>
      </c>
      <c r="F354" s="1">
        <v>3</v>
      </c>
      <c r="G354" s="1">
        <v>0</v>
      </c>
      <c r="H354" s="1">
        <v>36</v>
      </c>
      <c r="I354" s="1">
        <v>2</v>
      </c>
      <c r="J354" s="1">
        <v>94.74</v>
      </c>
      <c r="K354" s="1">
        <v>3</v>
      </c>
      <c r="L354" s="1">
        <v>9</v>
      </c>
      <c r="M354" s="1">
        <v>16.248999999999999</v>
      </c>
      <c r="N354" s="1">
        <v>7</v>
      </c>
      <c r="O354" s="1">
        <v>938</v>
      </c>
      <c r="P354" s="1">
        <v>10.1014</v>
      </c>
      <c r="Q354" s="1">
        <v>15.225</v>
      </c>
      <c r="R354" s="5">
        <v>4.3981481481481481E-4</v>
      </c>
      <c r="S354" s="1">
        <v>8180</v>
      </c>
      <c r="T354" s="6">
        <v>8.17</v>
      </c>
      <c r="U354" s="1" t="str">
        <f>IF(ISNUMBER(SEARCH("Vande Bharat",Table1[[#This Row],[Video title]])),"Vande Bharat","Other")</f>
        <v>Other</v>
      </c>
    </row>
    <row r="355" spans="1:21" x14ac:dyDescent="0.3">
      <c r="A355" s="4" t="s">
        <v>728</v>
      </c>
      <c r="B355" s="1" t="s">
        <v>729</v>
      </c>
      <c r="C355" s="7">
        <v>44277</v>
      </c>
      <c r="D355" s="1">
        <v>96</v>
      </c>
      <c r="E355" s="1">
        <v>53.56</v>
      </c>
      <c r="F355" s="1">
        <v>3</v>
      </c>
      <c r="G355" s="1">
        <v>0</v>
      </c>
      <c r="H355" s="1">
        <v>44</v>
      </c>
      <c r="I355" s="1">
        <v>1</v>
      </c>
      <c r="J355" s="1">
        <v>97.78</v>
      </c>
      <c r="K355" s="1">
        <v>1</v>
      </c>
      <c r="L355" s="1">
        <v>15</v>
      </c>
      <c r="M355" s="1">
        <v>1.641</v>
      </c>
      <c r="N355" s="1">
        <v>19</v>
      </c>
      <c r="O355" s="1">
        <v>1005</v>
      </c>
      <c r="P355" s="1">
        <v>14.354100000000001</v>
      </c>
      <c r="Q355" s="1">
        <v>1.649</v>
      </c>
      <c r="R355" s="5">
        <v>5.9027777777777778E-4</v>
      </c>
      <c r="S355" s="1">
        <v>10277</v>
      </c>
      <c r="T355" s="6">
        <v>7.19</v>
      </c>
      <c r="U355" s="1" t="str">
        <f>IF(ISNUMBER(SEARCH("Vande Bharat",Table1[[#This Row],[Video title]])),"Vande Bharat","Other")</f>
        <v>Other</v>
      </c>
    </row>
    <row r="356" spans="1:21" x14ac:dyDescent="0.3">
      <c r="A356" s="4" t="s">
        <v>730</v>
      </c>
      <c r="B356" s="1" t="s">
        <v>731</v>
      </c>
      <c r="C356" s="7">
        <v>46096</v>
      </c>
      <c r="D356" s="1">
        <v>21</v>
      </c>
      <c r="E356" s="1">
        <v>66.430000000000007</v>
      </c>
      <c r="F356" s="1">
        <v>2</v>
      </c>
      <c r="G356" s="1">
        <v>0</v>
      </c>
      <c r="H356" s="1">
        <v>55</v>
      </c>
      <c r="I356" s="1">
        <v>2</v>
      </c>
      <c r="J356" s="1">
        <v>96.49</v>
      </c>
      <c r="K356" s="1">
        <v>1</v>
      </c>
      <c r="L356" s="1">
        <v>3</v>
      </c>
      <c r="M356" s="1">
        <v>1.0329999999999999</v>
      </c>
      <c r="N356" s="1">
        <v>62</v>
      </c>
      <c r="O356" s="1">
        <v>2229</v>
      </c>
      <c r="P356" s="1">
        <v>4.0713999999999997</v>
      </c>
      <c r="Q356" s="1">
        <v>0.95299999999999996</v>
      </c>
      <c r="R356" s="5">
        <v>1.5046296296296297E-4</v>
      </c>
      <c r="S356" s="1">
        <v>2423</v>
      </c>
      <c r="T356" s="6">
        <v>5.86</v>
      </c>
      <c r="U356" s="1" t="str">
        <f>IF(ISNUMBER(SEARCH("Vande Bharat",Table1[[#This Row],[Video title]])),"Vande Bharat","Other")</f>
        <v>Other</v>
      </c>
    </row>
    <row r="357" spans="1:21" x14ac:dyDescent="0.3">
      <c r="A357" s="4" t="s">
        <v>732</v>
      </c>
      <c r="B357" s="1" t="s">
        <v>733</v>
      </c>
      <c r="C357" s="7">
        <v>45494</v>
      </c>
      <c r="D357" s="1">
        <v>23</v>
      </c>
      <c r="E357" s="1">
        <v>74.55</v>
      </c>
      <c r="F357" s="1">
        <v>0</v>
      </c>
      <c r="G357" s="1">
        <v>0</v>
      </c>
      <c r="H357" s="1">
        <v>37</v>
      </c>
      <c r="I357" s="1">
        <v>4</v>
      </c>
      <c r="J357" s="1">
        <v>90.24</v>
      </c>
      <c r="K357" s="1">
        <v>0</v>
      </c>
      <c r="L357" s="1">
        <v>1</v>
      </c>
      <c r="M357" s="1">
        <v>0.62</v>
      </c>
      <c r="N357" s="1">
        <v>15</v>
      </c>
      <c r="O357" s="1">
        <v>898</v>
      </c>
      <c r="P357" s="1">
        <v>4.1858000000000004</v>
      </c>
      <c r="Q357" s="1">
        <v>0.54400000000000004</v>
      </c>
      <c r="R357" s="5">
        <v>1.9675925925925926E-4</v>
      </c>
      <c r="S357" s="1">
        <v>1729</v>
      </c>
      <c r="T357" s="6">
        <v>7.29</v>
      </c>
      <c r="U357" s="1" t="str">
        <f>IF(ISNUMBER(SEARCH("Vande Bharat",Table1[[#This Row],[Video title]])),"Vande Bharat","Other")</f>
        <v>Other</v>
      </c>
    </row>
    <row r="358" spans="1:21" x14ac:dyDescent="0.3">
      <c r="A358" s="4" t="s">
        <v>734</v>
      </c>
      <c r="B358" s="1" t="s">
        <v>735</v>
      </c>
      <c r="C358" s="7">
        <v>44429</v>
      </c>
      <c r="D358" s="1">
        <v>447</v>
      </c>
      <c r="E358" s="1">
        <v>20.72</v>
      </c>
      <c r="F358" s="1">
        <v>3</v>
      </c>
      <c r="G358" s="1">
        <v>0</v>
      </c>
      <c r="H358" s="1">
        <v>44</v>
      </c>
      <c r="I358" s="1">
        <v>1</v>
      </c>
      <c r="J358" s="1">
        <v>97.78</v>
      </c>
      <c r="K358" s="1">
        <v>1</v>
      </c>
      <c r="L358" s="1">
        <v>10</v>
      </c>
      <c r="M358" s="1">
        <v>39.509</v>
      </c>
      <c r="N358" s="1">
        <v>20</v>
      </c>
      <c r="O358" s="1">
        <v>973</v>
      </c>
      <c r="P358" s="1">
        <v>25.031400000000001</v>
      </c>
      <c r="Q358" s="1">
        <v>38.363</v>
      </c>
      <c r="R358" s="5">
        <v>1.0648148148148149E-3</v>
      </c>
      <c r="S358" s="1">
        <v>9664</v>
      </c>
      <c r="T358" s="6">
        <v>6.44</v>
      </c>
      <c r="U358" s="1" t="str">
        <f>IF(ISNUMBER(SEARCH("Vande Bharat",Table1[[#This Row],[Video title]])),"Vande Bharat","Other")</f>
        <v>Other</v>
      </c>
    </row>
    <row r="359" spans="1:21" x14ac:dyDescent="0.3">
      <c r="A359" s="4" t="s">
        <v>736</v>
      </c>
      <c r="B359" s="1" t="s">
        <v>737</v>
      </c>
      <c r="C359" s="7">
        <v>44325</v>
      </c>
      <c r="D359" s="1">
        <v>101</v>
      </c>
      <c r="E359" s="1">
        <v>50.27</v>
      </c>
      <c r="F359" s="1">
        <v>3</v>
      </c>
      <c r="G359" s="1">
        <v>1</v>
      </c>
      <c r="H359" s="1">
        <v>48</v>
      </c>
      <c r="I359" s="1">
        <v>0</v>
      </c>
      <c r="J359" s="1">
        <v>100</v>
      </c>
      <c r="K359" s="1">
        <v>0</v>
      </c>
      <c r="L359" s="1">
        <v>7</v>
      </c>
      <c r="M359" s="1">
        <v>18.166</v>
      </c>
      <c r="N359" s="1">
        <v>19</v>
      </c>
      <c r="O359" s="1">
        <v>956</v>
      </c>
      <c r="P359" s="1">
        <v>13.4834</v>
      </c>
      <c r="Q359" s="1">
        <v>17.367000000000001</v>
      </c>
      <c r="R359" s="5">
        <v>5.7870370370370367E-4</v>
      </c>
      <c r="S359" s="1">
        <v>7881</v>
      </c>
      <c r="T359" s="6">
        <v>8.73</v>
      </c>
      <c r="U359" s="1" t="str">
        <f>IF(ISNUMBER(SEARCH("Vande Bharat",Table1[[#This Row],[Video title]])),"Vande Bharat","Other")</f>
        <v>Other</v>
      </c>
    </row>
    <row r="360" spans="1:21" x14ac:dyDescent="0.3">
      <c r="A360" s="4" t="s">
        <v>738</v>
      </c>
      <c r="B360" s="1" t="s">
        <v>739</v>
      </c>
      <c r="C360" s="7">
        <v>44381</v>
      </c>
      <c r="D360" s="1">
        <v>131</v>
      </c>
      <c r="E360" s="1">
        <v>45.27</v>
      </c>
      <c r="F360" s="1">
        <v>3</v>
      </c>
      <c r="G360" s="1">
        <v>2</v>
      </c>
      <c r="H360" s="1">
        <v>57</v>
      </c>
      <c r="I360" s="1">
        <v>2</v>
      </c>
      <c r="J360" s="1">
        <v>96.61</v>
      </c>
      <c r="K360" s="1">
        <v>2</v>
      </c>
      <c r="L360" s="1">
        <v>14</v>
      </c>
      <c r="M360" s="1">
        <v>22.994</v>
      </c>
      <c r="N360" s="1">
        <v>19</v>
      </c>
      <c r="O360" s="1">
        <v>961</v>
      </c>
      <c r="P360" s="1">
        <v>15.830399999999999</v>
      </c>
      <c r="Q360" s="1">
        <v>22.097000000000001</v>
      </c>
      <c r="R360" s="5">
        <v>6.8287037037037036E-4</v>
      </c>
      <c r="S360" s="1">
        <v>8402</v>
      </c>
      <c r="T360" s="6">
        <v>8.66</v>
      </c>
      <c r="U360" s="1" t="str">
        <f>IF(ISNUMBER(SEARCH("Vande Bharat",Table1[[#This Row],[Video title]])),"Vande Bharat","Other")</f>
        <v>Other</v>
      </c>
    </row>
    <row r="361" spans="1:21" x14ac:dyDescent="0.3">
      <c r="A361" s="4" t="s">
        <v>980</v>
      </c>
      <c r="B361" s="1" t="s">
        <v>981</v>
      </c>
      <c r="C361" s="7">
        <v>44991</v>
      </c>
      <c r="D361" s="1">
        <v>189</v>
      </c>
      <c r="E361" s="1">
        <v>27.33</v>
      </c>
      <c r="F361" s="1">
        <v>2</v>
      </c>
      <c r="G361" s="1">
        <v>0</v>
      </c>
      <c r="H361" s="1">
        <v>14</v>
      </c>
      <c r="I361" s="1">
        <v>0</v>
      </c>
      <c r="J361" s="1">
        <v>100</v>
      </c>
      <c r="K361" s="1">
        <v>3</v>
      </c>
      <c r="L361" s="1">
        <v>2</v>
      </c>
      <c r="M361" s="1">
        <v>15.786</v>
      </c>
      <c r="N361" s="1">
        <v>27</v>
      </c>
      <c r="O361" s="1">
        <v>626</v>
      </c>
      <c r="P361" s="1">
        <v>8.9826999999999995</v>
      </c>
      <c r="Q361" s="1">
        <v>9.8829999999999991</v>
      </c>
      <c r="R361" s="5">
        <v>5.9027777777777778E-4</v>
      </c>
      <c r="S361" s="1">
        <v>5252</v>
      </c>
      <c r="T361" s="6">
        <v>8.83</v>
      </c>
      <c r="U361" s="1" t="str">
        <f>IF(ISNUMBER(SEARCH("Vande Bharat",Table1[[#This Row],[Video title]])),"Vande Bharat","Other")</f>
        <v>Vande Bharat</v>
      </c>
    </row>
    <row r="362" spans="1:21" x14ac:dyDescent="0.3">
      <c r="A362" s="4" t="s">
        <v>742</v>
      </c>
      <c r="B362" s="1" t="s">
        <v>743</v>
      </c>
      <c r="C362" s="7">
        <v>44365</v>
      </c>
      <c r="D362" s="1">
        <v>134</v>
      </c>
      <c r="E362" s="1">
        <v>38.35</v>
      </c>
      <c r="F362" s="1">
        <v>2</v>
      </c>
      <c r="G362" s="1">
        <v>2</v>
      </c>
      <c r="H362" s="1">
        <v>35</v>
      </c>
      <c r="I362" s="1">
        <v>0</v>
      </c>
      <c r="J362" s="1">
        <v>100</v>
      </c>
      <c r="K362" s="1">
        <v>2</v>
      </c>
      <c r="L362" s="1">
        <v>11</v>
      </c>
      <c r="M362" s="1">
        <v>12.839</v>
      </c>
      <c r="N362" s="1">
        <v>13</v>
      </c>
      <c r="O362" s="1">
        <v>911</v>
      </c>
      <c r="P362" s="1">
        <v>13.0059</v>
      </c>
      <c r="Q362" s="1">
        <v>11.696</v>
      </c>
      <c r="R362" s="5">
        <v>5.9027777777777778E-4</v>
      </c>
      <c r="S362" s="1">
        <v>9302</v>
      </c>
      <c r="T362" s="6">
        <v>7.6</v>
      </c>
      <c r="U362" s="1" t="str">
        <f>IF(ISNUMBER(SEARCH("Vande Bharat",Table1[[#This Row],[Video title]])),"Vande Bharat","Other")</f>
        <v>Other</v>
      </c>
    </row>
    <row r="363" spans="1:21" x14ac:dyDescent="0.3">
      <c r="A363" s="4" t="s">
        <v>744</v>
      </c>
      <c r="B363" s="1" t="s">
        <v>745</v>
      </c>
      <c r="C363" s="7">
        <v>45593</v>
      </c>
      <c r="D363" s="1">
        <v>96</v>
      </c>
      <c r="E363" s="1">
        <v>48.12</v>
      </c>
      <c r="F363" s="1">
        <v>10</v>
      </c>
      <c r="G363" s="1">
        <v>2</v>
      </c>
      <c r="H363" s="1">
        <v>37</v>
      </c>
      <c r="I363" s="1">
        <v>1</v>
      </c>
      <c r="J363" s="1">
        <v>97.37</v>
      </c>
      <c r="K363" s="1">
        <v>6</v>
      </c>
      <c r="L363" s="1">
        <v>6</v>
      </c>
      <c r="M363" s="1">
        <v>11.936999999999999</v>
      </c>
      <c r="N363" s="1">
        <v>26</v>
      </c>
      <c r="O363" s="1">
        <v>970</v>
      </c>
      <c r="P363" s="1">
        <v>12.4472</v>
      </c>
      <c r="Q363" s="1">
        <v>11.579000000000001</v>
      </c>
      <c r="R363" s="5">
        <v>5.3240740740740744E-4</v>
      </c>
      <c r="S363" s="1">
        <v>9893</v>
      </c>
      <c r="T363" s="6">
        <v>8.24</v>
      </c>
      <c r="U363" s="1" t="str">
        <f>IF(ISNUMBER(SEARCH("Vande Bharat",Table1[[#This Row],[Video title]])),"Vande Bharat","Other")</f>
        <v>Other</v>
      </c>
    </row>
    <row r="364" spans="1:21" x14ac:dyDescent="0.3">
      <c r="A364" s="4" t="s">
        <v>746</v>
      </c>
      <c r="B364" s="1" t="s">
        <v>747</v>
      </c>
      <c r="C364" s="7">
        <v>44194</v>
      </c>
      <c r="D364" s="1">
        <v>174</v>
      </c>
      <c r="E364" s="1">
        <v>41.1</v>
      </c>
      <c r="F364" s="1">
        <v>5</v>
      </c>
      <c r="G364" s="1">
        <v>1</v>
      </c>
      <c r="H364" s="1">
        <v>33</v>
      </c>
      <c r="I364" s="1">
        <v>0</v>
      </c>
      <c r="J364" s="1">
        <v>100</v>
      </c>
      <c r="K364" s="1">
        <v>1</v>
      </c>
      <c r="L364" s="1">
        <v>11</v>
      </c>
      <c r="M364" s="1">
        <v>1.585</v>
      </c>
      <c r="N364" s="1">
        <v>10</v>
      </c>
      <c r="O364" s="1">
        <v>1054</v>
      </c>
      <c r="P364" s="1">
        <v>20.939900000000002</v>
      </c>
      <c r="Q364" s="1">
        <v>1.671</v>
      </c>
      <c r="R364" s="5">
        <v>8.2175925925925927E-4</v>
      </c>
      <c r="S364" s="1">
        <v>11806</v>
      </c>
      <c r="T364" s="6">
        <v>6.67</v>
      </c>
      <c r="U364" s="1" t="str">
        <f>IF(ISNUMBER(SEARCH("Vande Bharat",Table1[[#This Row],[Video title]])),"Vande Bharat","Other")</f>
        <v>Other</v>
      </c>
    </row>
    <row r="365" spans="1:21" x14ac:dyDescent="0.3">
      <c r="A365" s="4" t="s">
        <v>748</v>
      </c>
      <c r="B365" s="1" t="s">
        <v>749</v>
      </c>
      <c r="C365" s="7">
        <v>44736</v>
      </c>
      <c r="D365" s="1">
        <v>2585</v>
      </c>
      <c r="E365" s="1">
        <v>6.4</v>
      </c>
      <c r="F365" s="1">
        <v>5</v>
      </c>
      <c r="G365" s="1">
        <v>0</v>
      </c>
      <c r="H365" s="1">
        <v>37</v>
      </c>
      <c r="I365" s="1">
        <v>1</v>
      </c>
      <c r="J365" s="1">
        <v>97.37</v>
      </c>
      <c r="K365" s="1">
        <v>7</v>
      </c>
      <c r="L365" s="1">
        <v>13</v>
      </c>
      <c r="M365" s="1">
        <v>32.957000000000001</v>
      </c>
      <c r="N365" s="1">
        <v>21</v>
      </c>
      <c r="O365" s="1">
        <v>1011</v>
      </c>
      <c r="P365" s="1">
        <v>46.4953</v>
      </c>
      <c r="Q365" s="1">
        <v>33.32</v>
      </c>
      <c r="R365" s="5">
        <v>1.9097222222222222E-3</v>
      </c>
      <c r="S365" s="1">
        <v>10742</v>
      </c>
      <c r="T365" s="6">
        <v>7.82</v>
      </c>
      <c r="U365" s="1" t="str">
        <f>IF(ISNUMBER(SEARCH("Vande Bharat",Table1[[#This Row],[Video title]])),"Vande Bharat","Other")</f>
        <v>Other</v>
      </c>
    </row>
    <row r="366" spans="1:21" x14ac:dyDescent="0.3">
      <c r="A366" s="4" t="s">
        <v>750</v>
      </c>
      <c r="B366" s="1" t="s">
        <v>751</v>
      </c>
      <c r="C366" s="7">
        <v>44394</v>
      </c>
      <c r="D366" s="1">
        <v>98</v>
      </c>
      <c r="E366" s="1">
        <v>42.63</v>
      </c>
      <c r="F366" s="1">
        <v>2</v>
      </c>
      <c r="G366" s="1">
        <v>0</v>
      </c>
      <c r="H366" s="1">
        <v>41</v>
      </c>
      <c r="I366" s="1">
        <v>1</v>
      </c>
      <c r="J366" s="1">
        <v>97.62</v>
      </c>
      <c r="K366" s="1">
        <v>2</v>
      </c>
      <c r="L366" s="1">
        <v>12</v>
      </c>
      <c r="M366" s="1">
        <v>18.411000000000001</v>
      </c>
      <c r="N366" s="1">
        <v>12</v>
      </c>
      <c r="O366" s="1">
        <v>913</v>
      </c>
      <c r="P366" s="1">
        <v>10.5947</v>
      </c>
      <c r="Q366" s="1">
        <v>16.809000000000001</v>
      </c>
      <c r="R366" s="5">
        <v>4.7453703703703704E-4</v>
      </c>
      <c r="S366" s="1">
        <v>6148</v>
      </c>
      <c r="T366" s="6">
        <v>10.61</v>
      </c>
      <c r="U366" s="1" t="str">
        <f>IF(ISNUMBER(SEARCH("Vande Bharat",Table1[[#This Row],[Video title]])),"Vande Bharat","Other")</f>
        <v>Other</v>
      </c>
    </row>
    <row r="367" spans="1:21" x14ac:dyDescent="0.3">
      <c r="A367" s="4" t="s">
        <v>752</v>
      </c>
      <c r="B367" s="1" t="s">
        <v>753</v>
      </c>
      <c r="C367" s="7">
        <v>44344</v>
      </c>
      <c r="D367" s="1">
        <v>62</v>
      </c>
      <c r="E367" s="1">
        <v>53.64</v>
      </c>
      <c r="F367" s="1">
        <v>2</v>
      </c>
      <c r="G367" s="1">
        <v>1</v>
      </c>
      <c r="H367" s="1">
        <v>59</v>
      </c>
      <c r="I367" s="1">
        <v>4</v>
      </c>
      <c r="J367" s="1">
        <v>93.65</v>
      </c>
      <c r="K367" s="1">
        <v>1</v>
      </c>
      <c r="L367" s="1">
        <v>10</v>
      </c>
      <c r="M367" s="1">
        <v>13.098000000000001</v>
      </c>
      <c r="N367" s="1">
        <v>17</v>
      </c>
      <c r="O367" s="1">
        <v>946</v>
      </c>
      <c r="P367" s="1">
        <v>8.7385000000000002</v>
      </c>
      <c r="Q367" s="1">
        <v>12.391</v>
      </c>
      <c r="R367" s="5">
        <v>3.8194444444444446E-4</v>
      </c>
      <c r="S367" s="1">
        <v>6673</v>
      </c>
      <c r="T367" s="6">
        <v>10.91</v>
      </c>
      <c r="U367" s="1" t="str">
        <f>IF(ISNUMBER(SEARCH("Vande Bharat",Table1[[#This Row],[Video title]])),"Vande Bharat","Other")</f>
        <v>Other</v>
      </c>
    </row>
    <row r="368" spans="1:21" x14ac:dyDescent="0.3">
      <c r="A368" s="4" t="s">
        <v>754</v>
      </c>
      <c r="B368" s="1" t="s">
        <v>755</v>
      </c>
      <c r="C368" s="7">
        <v>44331</v>
      </c>
      <c r="D368" s="1">
        <v>527</v>
      </c>
      <c r="E368" s="1">
        <v>27.11</v>
      </c>
      <c r="F368" s="1">
        <v>4</v>
      </c>
      <c r="G368" s="1">
        <v>1</v>
      </c>
      <c r="H368" s="1">
        <v>51</v>
      </c>
      <c r="I368" s="1">
        <v>3</v>
      </c>
      <c r="J368" s="1">
        <v>94.44</v>
      </c>
      <c r="K368" s="1">
        <v>0</v>
      </c>
      <c r="L368" s="1">
        <v>22</v>
      </c>
      <c r="M368" s="1">
        <v>38.786000000000001</v>
      </c>
      <c r="N368" s="1">
        <v>26</v>
      </c>
      <c r="O368" s="1">
        <v>1008</v>
      </c>
      <c r="P368" s="1">
        <v>40.0017</v>
      </c>
      <c r="Q368" s="1">
        <v>39.095999999999997</v>
      </c>
      <c r="R368" s="5">
        <v>1.6435185185185185E-3</v>
      </c>
      <c r="S368" s="1">
        <v>10544</v>
      </c>
      <c r="T368" s="6">
        <v>6.93</v>
      </c>
      <c r="U368" s="1" t="str">
        <f>IF(ISNUMBER(SEARCH("Vande Bharat",Table1[[#This Row],[Video title]])),"Vande Bharat","Other")</f>
        <v>Other</v>
      </c>
    </row>
    <row r="369" spans="1:21" x14ac:dyDescent="0.3">
      <c r="A369" s="4" t="s">
        <v>756</v>
      </c>
      <c r="B369" s="1" t="s">
        <v>757</v>
      </c>
      <c r="C369" s="7">
        <v>44675</v>
      </c>
      <c r="D369" s="1">
        <v>3149</v>
      </c>
      <c r="E369" s="1">
        <v>4.7699999999999996</v>
      </c>
      <c r="F369" s="1">
        <v>2</v>
      </c>
      <c r="G369" s="1">
        <v>0</v>
      </c>
      <c r="H369" s="1">
        <v>29</v>
      </c>
      <c r="I369" s="1">
        <v>1</v>
      </c>
      <c r="J369" s="1">
        <v>96.67</v>
      </c>
      <c r="K369" s="1">
        <v>6</v>
      </c>
      <c r="L369" s="1">
        <v>9</v>
      </c>
      <c r="M369" s="1">
        <v>35.945</v>
      </c>
      <c r="N369" s="1">
        <v>17</v>
      </c>
      <c r="O369" s="1">
        <v>1024</v>
      </c>
      <c r="P369" s="1">
        <v>42.765000000000001</v>
      </c>
      <c r="Q369" s="1">
        <v>36.808</v>
      </c>
      <c r="R369" s="5">
        <v>1.736111111111111E-3</v>
      </c>
      <c r="S369" s="1">
        <v>10096</v>
      </c>
      <c r="T369" s="6">
        <v>8.7899999999999991</v>
      </c>
      <c r="U369" s="1" t="str">
        <f>IF(ISNUMBER(SEARCH("Vande Bharat",Table1[[#This Row],[Video title]])),"Vande Bharat","Other")</f>
        <v>Other</v>
      </c>
    </row>
    <row r="370" spans="1:21" x14ac:dyDescent="0.3">
      <c r="A370" s="4" t="s">
        <v>758</v>
      </c>
      <c r="B370" s="1" t="s">
        <v>759</v>
      </c>
      <c r="C370" s="7">
        <v>44704</v>
      </c>
      <c r="D370" s="1">
        <v>189</v>
      </c>
      <c r="E370" s="1">
        <v>34.270000000000003</v>
      </c>
      <c r="F370" s="1">
        <v>3</v>
      </c>
      <c r="G370" s="1">
        <v>1</v>
      </c>
      <c r="H370" s="1">
        <v>29</v>
      </c>
      <c r="I370" s="1">
        <v>0</v>
      </c>
      <c r="J370" s="1">
        <v>100</v>
      </c>
      <c r="K370" s="1">
        <v>2</v>
      </c>
      <c r="L370" s="1">
        <v>11</v>
      </c>
      <c r="M370" s="1">
        <v>27.722999999999999</v>
      </c>
      <c r="N370" s="1">
        <v>20</v>
      </c>
      <c r="O370" s="1">
        <v>976</v>
      </c>
      <c r="P370" s="1">
        <v>17.560700000000001</v>
      </c>
      <c r="Q370" s="1">
        <v>27.056999999999999</v>
      </c>
      <c r="R370" s="5">
        <v>7.407407407407407E-4</v>
      </c>
      <c r="S370" s="1">
        <v>8287</v>
      </c>
      <c r="T370" s="6">
        <v>9.92</v>
      </c>
      <c r="U370" s="1" t="str">
        <f>IF(ISNUMBER(SEARCH("Vande Bharat",Table1[[#This Row],[Video title]])),"Vande Bharat","Other")</f>
        <v>Other</v>
      </c>
    </row>
    <row r="371" spans="1:21" x14ac:dyDescent="0.3">
      <c r="A371" s="4" t="s">
        <v>760</v>
      </c>
      <c r="B371" s="1" t="s">
        <v>761</v>
      </c>
      <c r="C371" s="7">
        <v>44374</v>
      </c>
      <c r="D371" s="1">
        <v>72</v>
      </c>
      <c r="E371" s="1">
        <v>60.25</v>
      </c>
      <c r="F371" s="1">
        <v>3</v>
      </c>
      <c r="G371" s="1">
        <v>1</v>
      </c>
      <c r="H371" s="1">
        <v>49</v>
      </c>
      <c r="I371" s="1">
        <v>2</v>
      </c>
      <c r="J371" s="1">
        <v>96.08</v>
      </c>
      <c r="K371" s="1">
        <v>5</v>
      </c>
      <c r="L371" s="1">
        <v>15</v>
      </c>
      <c r="M371" s="1">
        <v>28.271000000000001</v>
      </c>
      <c r="N371" s="1">
        <v>18</v>
      </c>
      <c r="O371" s="1">
        <v>942</v>
      </c>
      <c r="P371" s="1">
        <v>11.3505</v>
      </c>
      <c r="Q371" s="1">
        <v>26.631</v>
      </c>
      <c r="R371" s="5">
        <v>4.9768518518518521E-4</v>
      </c>
      <c r="S371" s="1">
        <v>7612</v>
      </c>
      <c r="T371" s="6">
        <v>9.08</v>
      </c>
      <c r="U371" s="1" t="str">
        <f>IF(ISNUMBER(SEARCH("Vande Bharat",Table1[[#This Row],[Video title]])),"Vande Bharat","Other")</f>
        <v>Other</v>
      </c>
    </row>
    <row r="372" spans="1:21" x14ac:dyDescent="0.3">
      <c r="A372" s="4" t="s">
        <v>762</v>
      </c>
      <c r="B372" s="1" t="s">
        <v>763</v>
      </c>
      <c r="C372" s="7">
        <v>44400</v>
      </c>
      <c r="D372" s="1">
        <v>1877</v>
      </c>
      <c r="E372" s="1">
        <v>13.89</v>
      </c>
      <c r="F372" s="1">
        <v>4</v>
      </c>
      <c r="G372" s="1">
        <v>0</v>
      </c>
      <c r="H372" s="1">
        <v>36</v>
      </c>
      <c r="I372" s="1">
        <v>2</v>
      </c>
      <c r="J372" s="1">
        <v>94.74</v>
      </c>
      <c r="K372" s="1">
        <v>2</v>
      </c>
      <c r="L372" s="1">
        <v>11</v>
      </c>
      <c r="M372" s="1">
        <v>29.805</v>
      </c>
      <c r="N372" s="1">
        <v>18</v>
      </c>
      <c r="O372" s="1">
        <v>1116</v>
      </c>
      <c r="P372" s="1">
        <v>80.803600000000003</v>
      </c>
      <c r="Q372" s="1">
        <v>33.231000000000002</v>
      </c>
      <c r="R372" s="5">
        <v>3.0092592592592593E-3</v>
      </c>
      <c r="S372" s="1">
        <v>14980</v>
      </c>
      <c r="T372" s="6">
        <v>5.13</v>
      </c>
      <c r="U372" s="1" t="str">
        <f>IF(ISNUMBER(SEARCH("Vande Bharat",Table1[[#This Row],[Video title]])),"Vande Bharat","Other")</f>
        <v>Other</v>
      </c>
    </row>
    <row r="373" spans="1:21" x14ac:dyDescent="0.3">
      <c r="A373" s="4" t="s">
        <v>764</v>
      </c>
      <c r="B373" s="1" t="s">
        <v>765</v>
      </c>
      <c r="C373" s="7">
        <v>44667</v>
      </c>
      <c r="D373" s="1">
        <v>118</v>
      </c>
      <c r="E373" s="1">
        <v>47.42</v>
      </c>
      <c r="F373" s="1">
        <v>2</v>
      </c>
      <c r="G373" s="1">
        <v>0</v>
      </c>
      <c r="H373" s="1">
        <v>62</v>
      </c>
      <c r="I373" s="1">
        <v>0</v>
      </c>
      <c r="J373" s="1">
        <v>100</v>
      </c>
      <c r="K373" s="1">
        <v>14</v>
      </c>
      <c r="L373" s="1">
        <v>29</v>
      </c>
      <c r="M373" s="1">
        <v>23.452000000000002</v>
      </c>
      <c r="N373" s="1">
        <v>30</v>
      </c>
      <c r="O373" s="1">
        <v>985</v>
      </c>
      <c r="P373" s="1">
        <v>15.3108</v>
      </c>
      <c r="Q373" s="1">
        <v>23.1</v>
      </c>
      <c r="R373" s="5">
        <v>6.3657407407407413E-4</v>
      </c>
      <c r="S373" s="1">
        <v>5878</v>
      </c>
      <c r="T373" s="6">
        <v>12.35</v>
      </c>
      <c r="U373" s="1" t="str">
        <f>IF(ISNUMBER(SEARCH("Vande Bharat",Table1[[#This Row],[Video title]])),"Vande Bharat","Other")</f>
        <v>Other</v>
      </c>
    </row>
    <row r="374" spans="1:21" x14ac:dyDescent="0.3">
      <c r="A374" s="4" t="s">
        <v>766</v>
      </c>
      <c r="B374" s="1" t="s">
        <v>767</v>
      </c>
      <c r="C374" s="7">
        <v>45539</v>
      </c>
      <c r="D374" s="1">
        <v>640</v>
      </c>
      <c r="E374" s="1">
        <v>25.11</v>
      </c>
      <c r="F374" s="1">
        <v>5</v>
      </c>
      <c r="G374" s="1">
        <v>0</v>
      </c>
      <c r="H374" s="1">
        <v>31</v>
      </c>
      <c r="I374" s="1">
        <v>2</v>
      </c>
      <c r="J374" s="1">
        <v>93.94</v>
      </c>
      <c r="K374" s="1">
        <v>2</v>
      </c>
      <c r="L374" s="1">
        <v>6</v>
      </c>
      <c r="M374" s="1">
        <v>32.177</v>
      </c>
      <c r="N374" s="1">
        <v>46</v>
      </c>
      <c r="O374" s="1">
        <v>904</v>
      </c>
      <c r="P374" s="1">
        <v>40.357399999999998</v>
      </c>
      <c r="Q374" s="1">
        <v>29.088000000000001</v>
      </c>
      <c r="R374" s="5">
        <v>1.8518518518518519E-3</v>
      </c>
      <c r="S374" s="1">
        <v>15939</v>
      </c>
      <c r="T374" s="6">
        <v>4.82</v>
      </c>
      <c r="U374" s="1" t="str">
        <f>IF(ISNUMBER(SEARCH("Vande Bharat",Table1[[#This Row],[Video title]])),"Vande Bharat","Other")</f>
        <v>Other</v>
      </c>
    </row>
    <row r="375" spans="1:21" x14ac:dyDescent="0.3">
      <c r="A375" s="4" t="s">
        <v>768</v>
      </c>
      <c r="B375" s="1" t="s">
        <v>769</v>
      </c>
      <c r="C375" s="7">
        <v>45940</v>
      </c>
      <c r="D375" s="1">
        <v>28</v>
      </c>
      <c r="E375" s="1">
        <v>46.48</v>
      </c>
      <c r="F375" s="1">
        <v>1</v>
      </c>
      <c r="G375" s="1">
        <v>0</v>
      </c>
      <c r="H375" s="1">
        <v>33</v>
      </c>
      <c r="I375" s="1">
        <v>3</v>
      </c>
      <c r="J375" s="1">
        <v>91.67</v>
      </c>
      <c r="K375" s="1">
        <v>6</v>
      </c>
      <c r="L375" s="1">
        <v>1</v>
      </c>
      <c r="M375" s="1">
        <v>1.7450000000000001</v>
      </c>
      <c r="N375" s="1">
        <v>139</v>
      </c>
      <c r="O375" s="1">
        <v>1818</v>
      </c>
      <c r="P375" s="1">
        <v>3.4590999999999998</v>
      </c>
      <c r="Q375" s="1">
        <v>1.5</v>
      </c>
      <c r="R375" s="5">
        <v>1.5046296296296297E-4</v>
      </c>
      <c r="S375" s="1">
        <v>4118</v>
      </c>
      <c r="T375" s="6">
        <v>5.51</v>
      </c>
      <c r="U375" s="1" t="str">
        <f>IF(ISNUMBER(SEARCH("Vande Bharat",Table1[[#This Row],[Video title]])),"Vande Bharat","Other")</f>
        <v>Other</v>
      </c>
    </row>
    <row r="376" spans="1:21" x14ac:dyDescent="0.3">
      <c r="A376" s="4" t="s">
        <v>770</v>
      </c>
      <c r="B376" s="1" t="s">
        <v>771</v>
      </c>
      <c r="C376" s="7">
        <v>44757</v>
      </c>
      <c r="D376" s="1">
        <v>258</v>
      </c>
      <c r="E376" s="1">
        <v>27.43</v>
      </c>
      <c r="F376" s="1">
        <v>2</v>
      </c>
      <c r="G376" s="1">
        <v>1</v>
      </c>
      <c r="H376" s="1">
        <v>33</v>
      </c>
      <c r="I376" s="1">
        <v>0</v>
      </c>
      <c r="J376" s="1">
        <v>100</v>
      </c>
      <c r="K376" s="1">
        <v>3</v>
      </c>
      <c r="L376" s="1">
        <v>7</v>
      </c>
      <c r="M376" s="1">
        <v>14.926</v>
      </c>
      <c r="N376" s="1">
        <v>21</v>
      </c>
      <c r="O376" s="1">
        <v>940</v>
      </c>
      <c r="P376" s="1">
        <v>18.479700000000001</v>
      </c>
      <c r="Q376" s="1">
        <v>14.000999999999999</v>
      </c>
      <c r="R376" s="5">
        <v>8.1018518518518516E-4</v>
      </c>
      <c r="S376" s="1">
        <v>8587</v>
      </c>
      <c r="T376" s="6">
        <v>9.0399999999999991</v>
      </c>
      <c r="U376" s="1" t="str">
        <f>IF(ISNUMBER(SEARCH("Vande Bharat",Table1[[#This Row],[Video title]])),"Vande Bharat","Other")</f>
        <v>Other</v>
      </c>
    </row>
    <row r="377" spans="1:21" x14ac:dyDescent="0.3">
      <c r="A377" s="4" t="s">
        <v>772</v>
      </c>
      <c r="B377" s="1" t="s">
        <v>773</v>
      </c>
      <c r="C377" s="7">
        <v>44911</v>
      </c>
      <c r="D377" s="1">
        <v>165</v>
      </c>
      <c r="E377" s="1">
        <v>23.67</v>
      </c>
      <c r="F377" s="1">
        <v>1</v>
      </c>
      <c r="G377" s="1">
        <v>0</v>
      </c>
      <c r="H377" s="1">
        <v>16</v>
      </c>
      <c r="I377" s="1">
        <v>2</v>
      </c>
      <c r="J377" s="1">
        <v>88.89</v>
      </c>
      <c r="K377" s="1">
        <v>3</v>
      </c>
      <c r="L377" s="1">
        <v>3</v>
      </c>
      <c r="M377" s="1">
        <v>10.087999999999999</v>
      </c>
      <c r="N377" s="1">
        <v>13</v>
      </c>
      <c r="O377" s="1">
        <v>912</v>
      </c>
      <c r="P377" s="1">
        <v>9.8923000000000005</v>
      </c>
      <c r="Q377" s="1">
        <v>9.1890000000000001</v>
      </c>
      <c r="R377" s="5">
        <v>4.5138888888888887E-4</v>
      </c>
      <c r="S377" s="1">
        <v>10044</v>
      </c>
      <c r="T377" s="6">
        <v>7.76</v>
      </c>
      <c r="U377" s="1" t="str">
        <f>IF(ISNUMBER(SEARCH("Vande Bharat",Table1[[#This Row],[Video title]])),"Vande Bharat","Other")</f>
        <v>Other</v>
      </c>
    </row>
    <row r="378" spans="1:21" x14ac:dyDescent="0.3">
      <c r="A378" s="4" t="s">
        <v>774</v>
      </c>
      <c r="B378" s="1" t="s">
        <v>775</v>
      </c>
      <c r="C378" s="7">
        <v>44328</v>
      </c>
      <c r="D378" s="1">
        <v>368</v>
      </c>
      <c r="E378" s="1">
        <v>25.21</v>
      </c>
      <c r="F378" s="1">
        <v>3</v>
      </c>
      <c r="G378" s="1">
        <v>1</v>
      </c>
      <c r="H378" s="1">
        <v>41</v>
      </c>
      <c r="I378" s="1">
        <v>1</v>
      </c>
      <c r="J378" s="1">
        <v>97.62</v>
      </c>
      <c r="K378" s="1">
        <v>2</v>
      </c>
      <c r="L378" s="1">
        <v>11</v>
      </c>
      <c r="M378" s="1">
        <v>16.852</v>
      </c>
      <c r="N378" s="1">
        <v>14</v>
      </c>
      <c r="O378" s="1">
        <v>917</v>
      </c>
      <c r="P378" s="1">
        <v>23.6309</v>
      </c>
      <c r="Q378" s="1">
        <v>15.452999999999999</v>
      </c>
      <c r="R378" s="5">
        <v>1.0648148148148149E-3</v>
      </c>
      <c r="S378" s="1">
        <v>10821</v>
      </c>
      <c r="T378" s="6">
        <v>5.7</v>
      </c>
      <c r="U378" s="1" t="str">
        <f>IF(ISNUMBER(SEARCH("Vande Bharat",Table1[[#This Row],[Video title]])),"Vande Bharat","Other")</f>
        <v>Other</v>
      </c>
    </row>
    <row r="379" spans="1:21" x14ac:dyDescent="0.3">
      <c r="A379" s="4" t="s">
        <v>776</v>
      </c>
      <c r="B379" s="1" t="s">
        <v>777</v>
      </c>
      <c r="C379" s="7">
        <v>43775</v>
      </c>
      <c r="D379" s="1">
        <v>102</v>
      </c>
      <c r="E379" s="1">
        <v>49.36</v>
      </c>
      <c r="F379" s="1">
        <v>10</v>
      </c>
      <c r="G379" s="1">
        <v>0</v>
      </c>
      <c r="H379" s="1">
        <v>24</v>
      </c>
      <c r="I379" s="1">
        <v>2</v>
      </c>
      <c r="J379" s="1">
        <v>92.31</v>
      </c>
      <c r="K379" s="1">
        <v>10</v>
      </c>
      <c r="L379" s="1">
        <v>11</v>
      </c>
      <c r="M379" s="1">
        <v>1.2030000000000001</v>
      </c>
      <c r="N379" s="1">
        <v>7</v>
      </c>
      <c r="O379" s="1">
        <v>1223</v>
      </c>
      <c r="P379" s="1">
        <v>17.104099999999999</v>
      </c>
      <c r="Q379" s="1">
        <v>1.4710000000000001</v>
      </c>
      <c r="R379" s="5">
        <v>5.7870370370370367E-4</v>
      </c>
      <c r="S379" s="1">
        <v>11069</v>
      </c>
      <c r="T379" s="6">
        <v>8.09</v>
      </c>
      <c r="U379" s="1" t="str">
        <f>IF(ISNUMBER(SEARCH("Vande Bharat",Table1[[#This Row],[Video title]])),"Vande Bharat","Other")</f>
        <v>Other</v>
      </c>
    </row>
    <row r="380" spans="1:21" x14ac:dyDescent="0.3">
      <c r="A380" s="4" t="s">
        <v>778</v>
      </c>
      <c r="B380" s="1" t="s">
        <v>779</v>
      </c>
      <c r="C380" s="7">
        <v>44301</v>
      </c>
      <c r="D380" s="1">
        <v>101</v>
      </c>
      <c r="E380" s="1">
        <v>47.12</v>
      </c>
      <c r="F380" s="1">
        <v>8</v>
      </c>
      <c r="G380" s="1">
        <v>0</v>
      </c>
      <c r="H380" s="1">
        <v>55</v>
      </c>
      <c r="I380" s="1">
        <v>1</v>
      </c>
      <c r="J380" s="1">
        <v>98.21</v>
      </c>
      <c r="K380" s="1">
        <v>3</v>
      </c>
      <c r="L380" s="1">
        <v>20</v>
      </c>
      <c r="M380" s="1">
        <v>3.081</v>
      </c>
      <c r="N380" s="1">
        <v>16</v>
      </c>
      <c r="O380" s="1">
        <v>937</v>
      </c>
      <c r="P380" s="1">
        <v>12.3873</v>
      </c>
      <c r="Q380" s="1">
        <v>2.887</v>
      </c>
      <c r="R380" s="5">
        <v>5.4398148148148144E-4</v>
      </c>
      <c r="S380" s="1">
        <v>9454</v>
      </c>
      <c r="T380" s="6">
        <v>7.46</v>
      </c>
      <c r="U380" s="1" t="str">
        <f>IF(ISNUMBER(SEARCH("Vande Bharat",Table1[[#This Row],[Video title]])),"Vande Bharat","Other")</f>
        <v>Other</v>
      </c>
    </row>
    <row r="381" spans="1:21" x14ac:dyDescent="0.3">
      <c r="A381" s="4" t="s">
        <v>780</v>
      </c>
      <c r="B381" s="1" t="s">
        <v>781</v>
      </c>
      <c r="C381" s="7">
        <v>44214</v>
      </c>
      <c r="D381" s="1">
        <v>223</v>
      </c>
      <c r="E381" s="1">
        <v>41.88</v>
      </c>
      <c r="F381" s="1">
        <v>10</v>
      </c>
      <c r="G381" s="1">
        <v>0</v>
      </c>
      <c r="H381" s="1">
        <v>40</v>
      </c>
      <c r="I381" s="1">
        <v>0</v>
      </c>
      <c r="J381" s="1">
        <v>100</v>
      </c>
      <c r="K381" s="1">
        <v>6</v>
      </c>
      <c r="L381" s="1">
        <v>15</v>
      </c>
      <c r="M381" s="1">
        <v>0.26700000000000002</v>
      </c>
      <c r="N381" s="1">
        <v>14</v>
      </c>
      <c r="O381" s="1">
        <v>983</v>
      </c>
      <c r="P381" s="1">
        <v>25.4998</v>
      </c>
      <c r="Q381" s="1">
        <v>0.26200000000000001</v>
      </c>
      <c r="R381" s="5">
        <v>1.0763888888888889E-3</v>
      </c>
      <c r="S381" s="1">
        <v>9190</v>
      </c>
      <c r="T381" s="6">
        <v>8.14</v>
      </c>
      <c r="U381" s="1" t="str">
        <f>IF(ISNUMBER(SEARCH("Vande Bharat",Table1[[#This Row],[Video title]])),"Vande Bharat","Other")</f>
        <v>Other</v>
      </c>
    </row>
    <row r="382" spans="1:21" x14ac:dyDescent="0.3">
      <c r="A382" s="4" t="s">
        <v>782</v>
      </c>
      <c r="B382" s="1" t="s">
        <v>783</v>
      </c>
      <c r="C382" s="7">
        <v>44227</v>
      </c>
      <c r="D382" s="1">
        <v>141</v>
      </c>
      <c r="E382" s="1">
        <v>45.33</v>
      </c>
      <c r="F382" s="1">
        <v>6</v>
      </c>
      <c r="G382" s="1">
        <v>0</v>
      </c>
      <c r="H382" s="1">
        <v>45</v>
      </c>
      <c r="I382" s="1">
        <v>0</v>
      </c>
      <c r="J382" s="1">
        <v>100</v>
      </c>
      <c r="K382" s="1">
        <v>3</v>
      </c>
      <c r="L382" s="1">
        <v>19</v>
      </c>
      <c r="M382" s="1">
        <v>1.17</v>
      </c>
      <c r="N382" s="1">
        <v>16</v>
      </c>
      <c r="O382" s="1">
        <v>953</v>
      </c>
      <c r="P382" s="1">
        <v>16.9191</v>
      </c>
      <c r="Q382" s="1">
        <v>1.115</v>
      </c>
      <c r="R382" s="5">
        <v>7.291666666666667E-4</v>
      </c>
      <c r="S382" s="1">
        <v>12034</v>
      </c>
      <c r="T382" s="6">
        <v>6.07</v>
      </c>
      <c r="U382" s="1" t="str">
        <f>IF(ISNUMBER(SEARCH("Vande Bharat",Table1[[#This Row],[Video title]])),"Vande Bharat","Other")</f>
        <v>Other</v>
      </c>
    </row>
    <row r="383" spans="1:21" x14ac:dyDescent="0.3">
      <c r="A383" s="4" t="s">
        <v>784</v>
      </c>
      <c r="B383" s="1" t="s">
        <v>785</v>
      </c>
      <c r="C383" s="7">
        <v>46050</v>
      </c>
      <c r="D383" s="1">
        <v>45</v>
      </c>
      <c r="E383" s="1">
        <v>54.91</v>
      </c>
      <c r="F383" s="1">
        <v>3</v>
      </c>
      <c r="G383" s="1">
        <v>0</v>
      </c>
      <c r="H383" s="1">
        <v>37</v>
      </c>
      <c r="I383" s="1">
        <v>2</v>
      </c>
      <c r="J383" s="1">
        <v>94.87</v>
      </c>
      <c r="K383" s="1">
        <v>0</v>
      </c>
      <c r="L383" s="1">
        <v>2</v>
      </c>
      <c r="M383" s="1">
        <v>0.88400000000000001</v>
      </c>
      <c r="N383" s="1">
        <v>51</v>
      </c>
      <c r="O383" s="1">
        <v>2129</v>
      </c>
      <c r="P383" s="1">
        <v>8.1006999999999998</v>
      </c>
      <c r="Q383" s="1">
        <v>1.01</v>
      </c>
      <c r="R383" s="5">
        <v>2.7777777777777778E-4</v>
      </c>
      <c r="S383" s="1">
        <v>4015</v>
      </c>
      <c r="T383" s="6">
        <v>7.17</v>
      </c>
      <c r="U383" s="1" t="str">
        <f>IF(ISNUMBER(SEARCH("Vande Bharat",Table1[[#This Row],[Video title]])),"Vande Bharat","Other")</f>
        <v>Other</v>
      </c>
    </row>
    <row r="384" spans="1:21" x14ac:dyDescent="0.3">
      <c r="A384" s="4" t="s">
        <v>786</v>
      </c>
      <c r="B384" s="1" t="s">
        <v>787</v>
      </c>
      <c r="C384" s="7">
        <v>45840</v>
      </c>
      <c r="D384" s="1">
        <v>26</v>
      </c>
      <c r="E384" s="1">
        <v>54.67</v>
      </c>
      <c r="F384" s="1">
        <v>0</v>
      </c>
      <c r="G384" s="1">
        <v>0</v>
      </c>
      <c r="H384" s="1">
        <v>18</v>
      </c>
      <c r="I384" s="1">
        <v>1</v>
      </c>
      <c r="J384" s="1">
        <v>94.74</v>
      </c>
      <c r="K384" s="1">
        <v>2</v>
      </c>
      <c r="L384" s="1">
        <v>0</v>
      </c>
      <c r="M384" s="1">
        <v>1.085</v>
      </c>
      <c r="N384" s="1">
        <v>72</v>
      </c>
      <c r="O384" s="1">
        <v>1446</v>
      </c>
      <c r="P384" s="1">
        <v>3.2256999999999998</v>
      </c>
      <c r="Q384" s="1">
        <v>0.81499999999999995</v>
      </c>
      <c r="R384" s="5">
        <v>1.6203703703703703E-4</v>
      </c>
      <c r="S384" s="1">
        <v>990</v>
      </c>
      <c r="T384" s="6">
        <v>2.5299999999999998</v>
      </c>
      <c r="U384" s="1" t="str">
        <f>IF(ISNUMBER(SEARCH("Vande Bharat",Table1[[#This Row],[Video title]])),"Vande Bharat","Other")</f>
        <v>Other</v>
      </c>
    </row>
    <row r="385" spans="1:21" x14ac:dyDescent="0.3">
      <c r="A385" s="4" t="s">
        <v>788</v>
      </c>
      <c r="B385" s="1" t="s">
        <v>789</v>
      </c>
      <c r="C385" s="7">
        <v>44420</v>
      </c>
      <c r="D385" s="1">
        <v>105</v>
      </c>
      <c r="E385" s="1">
        <v>36.54</v>
      </c>
      <c r="F385" s="1">
        <v>2</v>
      </c>
      <c r="G385" s="1">
        <v>0</v>
      </c>
      <c r="H385" s="1">
        <v>33</v>
      </c>
      <c r="I385" s="1">
        <v>2</v>
      </c>
      <c r="J385" s="1">
        <v>94.29</v>
      </c>
      <c r="K385" s="1">
        <v>0</v>
      </c>
      <c r="L385" s="1">
        <v>9</v>
      </c>
      <c r="M385" s="1">
        <v>14.824</v>
      </c>
      <c r="N385" s="1">
        <v>14</v>
      </c>
      <c r="O385" s="1">
        <v>826</v>
      </c>
      <c r="P385" s="1">
        <v>8.8032000000000004</v>
      </c>
      <c r="Q385" s="1">
        <v>12.244999999999999</v>
      </c>
      <c r="R385" s="5">
        <v>4.3981481481481481E-4</v>
      </c>
      <c r="S385" s="1">
        <v>5632</v>
      </c>
      <c r="T385" s="6">
        <v>9.6199999999999992</v>
      </c>
      <c r="U385" s="1" t="str">
        <f>IF(ISNUMBER(SEARCH("Vande Bharat",Table1[[#This Row],[Video title]])),"Vande Bharat","Other")</f>
        <v>Other</v>
      </c>
    </row>
    <row r="386" spans="1:21" x14ac:dyDescent="0.3">
      <c r="A386" s="4" t="s">
        <v>790</v>
      </c>
      <c r="B386" s="1" t="s">
        <v>791</v>
      </c>
      <c r="C386" s="7">
        <v>44661</v>
      </c>
      <c r="D386" s="1">
        <v>183</v>
      </c>
      <c r="E386" s="1">
        <v>36.19</v>
      </c>
      <c r="F386" s="1">
        <v>4</v>
      </c>
      <c r="G386" s="1">
        <v>0</v>
      </c>
      <c r="H386" s="1">
        <v>37</v>
      </c>
      <c r="I386" s="1">
        <v>0</v>
      </c>
      <c r="J386" s="1">
        <v>100</v>
      </c>
      <c r="K386" s="1">
        <v>2</v>
      </c>
      <c r="L386" s="1">
        <v>12</v>
      </c>
      <c r="M386" s="1">
        <v>25.702999999999999</v>
      </c>
      <c r="N386" s="1">
        <v>16</v>
      </c>
      <c r="O386" s="1">
        <v>837</v>
      </c>
      <c r="P386" s="1">
        <v>15.3986</v>
      </c>
      <c r="Q386" s="1">
        <v>21.513000000000002</v>
      </c>
      <c r="R386" s="5">
        <v>7.6388888888888893E-4</v>
      </c>
      <c r="S386" s="1">
        <v>7266</v>
      </c>
      <c r="T386" s="6">
        <v>7.82</v>
      </c>
      <c r="U386" s="1" t="str">
        <f>IF(ISNUMBER(SEARCH("Vande Bharat",Table1[[#This Row],[Video title]])),"Vande Bharat","Other")</f>
        <v>Other</v>
      </c>
    </row>
    <row r="387" spans="1:21" x14ac:dyDescent="0.3">
      <c r="A387" s="4" t="s">
        <v>792</v>
      </c>
      <c r="B387" s="1" t="s">
        <v>793</v>
      </c>
      <c r="C387" s="7">
        <v>44393</v>
      </c>
      <c r="D387" s="1">
        <v>91</v>
      </c>
      <c r="E387" s="1">
        <v>46.77</v>
      </c>
      <c r="F387" s="1">
        <v>2</v>
      </c>
      <c r="G387" s="1">
        <v>0</v>
      </c>
      <c r="H387" s="1">
        <v>40</v>
      </c>
      <c r="I387" s="1">
        <v>1</v>
      </c>
      <c r="J387" s="1">
        <v>97.56</v>
      </c>
      <c r="K387" s="1">
        <v>3</v>
      </c>
      <c r="L387" s="1">
        <v>13</v>
      </c>
      <c r="M387" s="1">
        <v>17.931000000000001</v>
      </c>
      <c r="N387" s="1">
        <v>11</v>
      </c>
      <c r="O387" s="1">
        <v>832</v>
      </c>
      <c r="P387" s="1">
        <v>9.8352000000000004</v>
      </c>
      <c r="Q387" s="1">
        <v>14.919</v>
      </c>
      <c r="R387" s="5">
        <v>4.861111111111111E-4</v>
      </c>
      <c r="S387" s="1">
        <v>6894</v>
      </c>
      <c r="T387" s="6">
        <v>8.36</v>
      </c>
      <c r="U387" s="1" t="str">
        <f>IF(ISNUMBER(SEARCH("Vande Bharat",Table1[[#This Row],[Video title]])),"Vande Bharat","Other")</f>
        <v>Other</v>
      </c>
    </row>
    <row r="388" spans="1:21" x14ac:dyDescent="0.3">
      <c r="A388" s="4" t="s">
        <v>794</v>
      </c>
      <c r="B388" s="1" t="s">
        <v>795</v>
      </c>
      <c r="C388" s="7">
        <v>44383</v>
      </c>
      <c r="D388" s="1">
        <v>227</v>
      </c>
      <c r="E388" s="1">
        <v>38.61</v>
      </c>
      <c r="F388" s="1">
        <v>2</v>
      </c>
      <c r="G388" s="1">
        <v>0</v>
      </c>
      <c r="H388" s="1">
        <v>40</v>
      </c>
      <c r="I388" s="1">
        <v>4</v>
      </c>
      <c r="J388" s="1">
        <v>90.91</v>
      </c>
      <c r="K388" s="1">
        <v>1</v>
      </c>
      <c r="L388" s="1">
        <v>11</v>
      </c>
      <c r="M388" s="1">
        <v>26.91</v>
      </c>
      <c r="N388" s="1">
        <v>18</v>
      </c>
      <c r="O388" s="1">
        <v>840</v>
      </c>
      <c r="P388" s="1">
        <v>20.451899999999998</v>
      </c>
      <c r="Q388" s="1">
        <v>22.603999999999999</v>
      </c>
      <c r="R388" s="5">
        <v>1.0069444444444444E-3</v>
      </c>
      <c r="S388" s="1">
        <v>6460</v>
      </c>
      <c r="T388" s="6">
        <v>9.27</v>
      </c>
      <c r="U388" s="1" t="str">
        <f>IF(ISNUMBER(SEARCH("Vande Bharat",Table1[[#This Row],[Video title]])),"Vande Bharat","Other")</f>
        <v>Other</v>
      </c>
    </row>
    <row r="389" spans="1:21" x14ac:dyDescent="0.3">
      <c r="A389" s="4" t="s">
        <v>796</v>
      </c>
      <c r="B389" s="1" t="s">
        <v>797</v>
      </c>
      <c r="C389" s="7">
        <v>44866</v>
      </c>
      <c r="D389" s="1">
        <v>103</v>
      </c>
      <c r="E389" s="1">
        <v>39.92</v>
      </c>
      <c r="F389" s="1">
        <v>3</v>
      </c>
      <c r="G389" s="1">
        <v>2</v>
      </c>
      <c r="H389" s="1">
        <v>23</v>
      </c>
      <c r="I389" s="1">
        <v>0</v>
      </c>
      <c r="J389" s="1">
        <v>100</v>
      </c>
      <c r="K389" s="1">
        <v>1</v>
      </c>
      <c r="L389" s="1">
        <v>3</v>
      </c>
      <c r="M389" s="1">
        <v>20.978999999999999</v>
      </c>
      <c r="N389" s="1">
        <v>16</v>
      </c>
      <c r="O389" s="1">
        <v>825</v>
      </c>
      <c r="P389" s="1">
        <v>9.4231999999999996</v>
      </c>
      <c r="Q389" s="1">
        <v>17.308</v>
      </c>
      <c r="R389" s="5">
        <v>4.7453703703703704E-4</v>
      </c>
      <c r="S389" s="1">
        <v>6596</v>
      </c>
      <c r="T389" s="6">
        <v>10.66</v>
      </c>
      <c r="U389" s="1" t="str">
        <f>IF(ISNUMBER(SEARCH("Vande Bharat",Table1[[#This Row],[Video title]])),"Vande Bharat","Other")</f>
        <v>Other</v>
      </c>
    </row>
    <row r="390" spans="1:21" x14ac:dyDescent="0.3">
      <c r="A390" s="4" t="s">
        <v>798</v>
      </c>
      <c r="B390" s="1" t="s">
        <v>799</v>
      </c>
      <c r="C390" s="7">
        <v>44942</v>
      </c>
      <c r="D390" s="1">
        <v>229</v>
      </c>
      <c r="E390" s="1">
        <v>23.74</v>
      </c>
      <c r="F390" s="1">
        <v>2</v>
      </c>
      <c r="G390" s="1">
        <v>2</v>
      </c>
      <c r="H390" s="1">
        <v>19</v>
      </c>
      <c r="I390" s="1">
        <v>1</v>
      </c>
      <c r="J390" s="1">
        <v>95</v>
      </c>
      <c r="K390" s="1">
        <v>7</v>
      </c>
      <c r="L390" s="1">
        <v>6</v>
      </c>
      <c r="M390" s="1">
        <v>13.721</v>
      </c>
      <c r="N390" s="1">
        <v>13</v>
      </c>
      <c r="O390" s="1">
        <v>858</v>
      </c>
      <c r="P390" s="1">
        <v>12.9559</v>
      </c>
      <c r="Q390" s="1">
        <v>11.773</v>
      </c>
      <c r="R390" s="5">
        <v>6.2500000000000001E-4</v>
      </c>
      <c r="S390" s="1">
        <v>6257</v>
      </c>
      <c r="T390" s="6">
        <v>11.91</v>
      </c>
      <c r="U390" s="1" t="str">
        <f>IF(ISNUMBER(SEARCH("Vande Bharat",Table1[[#This Row],[Video title]])),"Vande Bharat","Other")</f>
        <v>Other</v>
      </c>
    </row>
    <row r="391" spans="1:21" x14ac:dyDescent="0.3">
      <c r="A391" s="4" t="s">
        <v>800</v>
      </c>
      <c r="B391" s="1" t="s">
        <v>801</v>
      </c>
      <c r="C391" s="7">
        <v>44612</v>
      </c>
      <c r="D391" s="1">
        <v>84</v>
      </c>
      <c r="E391" s="1">
        <v>53.04</v>
      </c>
      <c r="F391" s="1">
        <v>0</v>
      </c>
      <c r="G391" s="1">
        <v>0</v>
      </c>
      <c r="H391" s="1">
        <v>42</v>
      </c>
      <c r="I391" s="1">
        <v>1</v>
      </c>
      <c r="J391" s="1">
        <v>97.67</v>
      </c>
      <c r="K391" s="1">
        <v>2</v>
      </c>
      <c r="L391" s="1">
        <v>6</v>
      </c>
      <c r="M391" s="1">
        <v>21.67</v>
      </c>
      <c r="N391" s="1">
        <v>15</v>
      </c>
      <c r="O391" s="1">
        <v>784</v>
      </c>
      <c r="P391" s="1">
        <v>9.7035999999999998</v>
      </c>
      <c r="Q391" s="1">
        <v>16.989000000000001</v>
      </c>
      <c r="R391" s="5">
        <v>5.0925925925925921E-4</v>
      </c>
      <c r="S391" s="1">
        <v>5149</v>
      </c>
      <c r="T391" s="6">
        <v>7.81</v>
      </c>
      <c r="U391" s="1" t="str">
        <f>IF(ISNUMBER(SEARCH("Vande Bharat",Table1[[#This Row],[Video title]])),"Vande Bharat","Other")</f>
        <v>Other</v>
      </c>
    </row>
    <row r="392" spans="1:21" x14ac:dyDescent="0.3">
      <c r="A392" s="4" t="s">
        <v>802</v>
      </c>
      <c r="B392" s="1" t="s">
        <v>803</v>
      </c>
      <c r="C392" s="7">
        <v>44581</v>
      </c>
      <c r="D392" s="1">
        <v>106</v>
      </c>
      <c r="E392" s="1">
        <v>39.47</v>
      </c>
      <c r="F392" s="1">
        <v>2</v>
      </c>
      <c r="G392" s="1">
        <v>0</v>
      </c>
      <c r="H392" s="1">
        <v>33</v>
      </c>
      <c r="I392" s="1">
        <v>0</v>
      </c>
      <c r="J392" s="1">
        <v>100</v>
      </c>
      <c r="K392" s="1">
        <v>1</v>
      </c>
      <c r="L392" s="1">
        <v>7</v>
      </c>
      <c r="M392" s="1">
        <v>12.586</v>
      </c>
      <c r="N392" s="1">
        <v>23</v>
      </c>
      <c r="O392" s="1">
        <v>819</v>
      </c>
      <c r="P392" s="1">
        <v>9.5182000000000002</v>
      </c>
      <c r="Q392" s="1">
        <v>10.308</v>
      </c>
      <c r="R392" s="5">
        <v>4.7453703703703704E-4</v>
      </c>
      <c r="S392" s="1">
        <v>6691</v>
      </c>
      <c r="T392" s="6">
        <v>7.53</v>
      </c>
      <c r="U392" s="1" t="str">
        <f>IF(ISNUMBER(SEARCH("Vande Bharat",Table1[[#This Row],[Video title]])),"Vande Bharat","Other")</f>
        <v>Other</v>
      </c>
    </row>
    <row r="393" spans="1:21" x14ac:dyDescent="0.3">
      <c r="A393" s="4" t="s">
        <v>804</v>
      </c>
      <c r="B393" s="1" t="s">
        <v>805</v>
      </c>
      <c r="C393" s="7">
        <v>45055</v>
      </c>
      <c r="D393" s="1">
        <v>189</v>
      </c>
      <c r="E393" s="1">
        <v>25.07</v>
      </c>
      <c r="F393" s="1">
        <v>0</v>
      </c>
      <c r="G393" s="1">
        <v>0</v>
      </c>
      <c r="H393" s="1">
        <v>14</v>
      </c>
      <c r="I393" s="1">
        <v>0</v>
      </c>
      <c r="J393" s="1">
        <v>100</v>
      </c>
      <c r="K393" s="1">
        <v>0</v>
      </c>
      <c r="L393" s="1">
        <v>1</v>
      </c>
      <c r="M393" s="1">
        <v>18.788</v>
      </c>
      <c r="N393" s="1">
        <v>13</v>
      </c>
      <c r="O393" s="1">
        <v>789</v>
      </c>
      <c r="P393" s="1">
        <v>10.3834</v>
      </c>
      <c r="Q393" s="1">
        <v>14.824</v>
      </c>
      <c r="R393" s="5">
        <v>5.4398148148148144E-4</v>
      </c>
      <c r="S393" s="1">
        <v>8053</v>
      </c>
      <c r="T393" s="6">
        <v>8.4700000000000006</v>
      </c>
      <c r="U393" s="1" t="str">
        <f>IF(ISNUMBER(SEARCH("Vande Bharat",Table1[[#This Row],[Video title]])),"Vande Bharat","Other")</f>
        <v>Other</v>
      </c>
    </row>
    <row r="394" spans="1:21" x14ac:dyDescent="0.3">
      <c r="A394" s="4" t="s">
        <v>806</v>
      </c>
      <c r="B394" s="1" t="s">
        <v>807</v>
      </c>
      <c r="C394" s="7">
        <v>44650</v>
      </c>
      <c r="D394" s="1">
        <v>120</v>
      </c>
      <c r="E394" s="1">
        <v>40.83</v>
      </c>
      <c r="F394" s="1">
        <v>1</v>
      </c>
      <c r="G394" s="1">
        <v>0</v>
      </c>
      <c r="H394" s="1">
        <v>33</v>
      </c>
      <c r="I394" s="1">
        <v>0</v>
      </c>
      <c r="J394" s="1">
        <v>100</v>
      </c>
      <c r="K394" s="1">
        <v>1</v>
      </c>
      <c r="L394" s="1">
        <v>12</v>
      </c>
      <c r="M394" s="1">
        <v>24.094999999999999</v>
      </c>
      <c r="N394" s="1">
        <v>19</v>
      </c>
      <c r="O394" s="1">
        <v>810</v>
      </c>
      <c r="P394" s="1">
        <v>11.023199999999999</v>
      </c>
      <c r="Q394" s="1">
        <v>19.516999999999999</v>
      </c>
      <c r="R394" s="5">
        <v>5.5555555555555556E-4</v>
      </c>
      <c r="S394" s="1">
        <v>6455</v>
      </c>
      <c r="T394" s="6">
        <v>7.16</v>
      </c>
      <c r="U394" s="1" t="str">
        <f>IF(ISNUMBER(SEARCH("Vande Bharat",Table1[[#This Row],[Video title]])),"Vande Bharat","Other")</f>
        <v>Other</v>
      </c>
    </row>
    <row r="395" spans="1:21" x14ac:dyDescent="0.3">
      <c r="A395" s="4" t="s">
        <v>808</v>
      </c>
      <c r="B395" s="1" t="s">
        <v>809</v>
      </c>
      <c r="C395" s="7">
        <v>44802</v>
      </c>
      <c r="D395" s="1">
        <v>331</v>
      </c>
      <c r="E395" s="1">
        <v>26.84</v>
      </c>
      <c r="F395" s="1">
        <v>1</v>
      </c>
      <c r="G395" s="1">
        <v>0</v>
      </c>
      <c r="H395" s="1">
        <v>26</v>
      </c>
      <c r="I395" s="1">
        <v>0</v>
      </c>
      <c r="J395" s="1">
        <v>100</v>
      </c>
      <c r="K395" s="1">
        <v>1</v>
      </c>
      <c r="L395" s="1">
        <v>5</v>
      </c>
      <c r="M395" s="1">
        <v>19.228000000000002</v>
      </c>
      <c r="N395" s="1">
        <v>24</v>
      </c>
      <c r="O395" s="1">
        <v>863</v>
      </c>
      <c r="P395" s="1">
        <v>21.298999999999999</v>
      </c>
      <c r="Q395" s="1">
        <v>16.594000000000001</v>
      </c>
      <c r="R395" s="5">
        <v>1.0185185185185184E-3</v>
      </c>
      <c r="S395" s="1">
        <v>9384</v>
      </c>
      <c r="T395" s="6">
        <v>7.69</v>
      </c>
      <c r="U395" s="1" t="str">
        <f>IF(ISNUMBER(SEARCH("Vande Bharat",Table1[[#This Row],[Video title]])),"Vande Bharat","Other")</f>
        <v>Other</v>
      </c>
    </row>
    <row r="396" spans="1:21" x14ac:dyDescent="0.3">
      <c r="A396" s="4" t="s">
        <v>226</v>
      </c>
      <c r="B396" s="1" t="s">
        <v>227</v>
      </c>
      <c r="C396" s="7">
        <v>44973</v>
      </c>
      <c r="D396" s="1">
        <v>16</v>
      </c>
      <c r="E396" s="1">
        <v>82.76</v>
      </c>
      <c r="F396" s="1">
        <v>7</v>
      </c>
      <c r="G396" s="1">
        <v>0</v>
      </c>
      <c r="H396" s="1">
        <v>107</v>
      </c>
      <c r="I396" s="1">
        <v>7</v>
      </c>
      <c r="J396" s="1">
        <v>93.86</v>
      </c>
      <c r="K396" s="1">
        <v>1</v>
      </c>
      <c r="L396" s="1">
        <v>0</v>
      </c>
      <c r="M396" s="1">
        <v>0.54700000000000004</v>
      </c>
      <c r="N396" s="1">
        <v>41</v>
      </c>
      <c r="O396" s="1">
        <v>3354</v>
      </c>
      <c r="P396" s="1">
        <v>11.8409</v>
      </c>
      <c r="Q396" s="1">
        <v>1.7549999999999999</v>
      </c>
      <c r="R396" s="5">
        <v>1.5046296296296297E-4</v>
      </c>
      <c r="S396" s="1">
        <v>11542</v>
      </c>
      <c r="T396" s="6">
        <v>3.3</v>
      </c>
      <c r="U396" s="1" t="str">
        <f>IF(ISNUMBER(SEARCH("Vande Bharat",Table1[[#This Row],[Video title]])),"Vande Bharat","Other")</f>
        <v>Vande Bharat</v>
      </c>
    </row>
    <row r="397" spans="1:21" x14ac:dyDescent="0.3">
      <c r="A397" s="4" t="s">
        <v>812</v>
      </c>
      <c r="B397" s="1" t="s">
        <v>813</v>
      </c>
      <c r="C397" s="7">
        <v>44926</v>
      </c>
      <c r="D397" s="1">
        <v>142</v>
      </c>
      <c r="E397" s="1">
        <v>40.31</v>
      </c>
      <c r="F397" s="1">
        <v>5</v>
      </c>
      <c r="G397" s="1">
        <v>0</v>
      </c>
      <c r="H397" s="1">
        <v>18</v>
      </c>
      <c r="I397" s="1">
        <v>0</v>
      </c>
      <c r="J397" s="1">
        <v>100</v>
      </c>
      <c r="K397" s="1">
        <v>1</v>
      </c>
      <c r="L397" s="1">
        <v>5</v>
      </c>
      <c r="M397" s="1">
        <v>11.994999999999999</v>
      </c>
      <c r="N397" s="1">
        <v>14</v>
      </c>
      <c r="O397" s="1">
        <v>821</v>
      </c>
      <c r="P397" s="1">
        <v>13.0555</v>
      </c>
      <c r="Q397" s="1">
        <v>9.8490000000000002</v>
      </c>
      <c r="R397" s="5">
        <v>6.5972222222222224E-4</v>
      </c>
      <c r="S397" s="1">
        <v>6864</v>
      </c>
      <c r="T397" s="6">
        <v>9.85</v>
      </c>
      <c r="U397" s="1" t="str">
        <f>IF(ISNUMBER(SEARCH("Vande Bharat",Table1[[#This Row],[Video title]])),"Vande Bharat","Other")</f>
        <v>Other</v>
      </c>
    </row>
    <row r="398" spans="1:21" x14ac:dyDescent="0.3">
      <c r="A398" s="4" t="s">
        <v>814</v>
      </c>
      <c r="B398" s="1" t="s">
        <v>815</v>
      </c>
      <c r="C398" s="7">
        <v>44232</v>
      </c>
      <c r="D398" s="1">
        <v>321</v>
      </c>
      <c r="E398" s="1">
        <v>30.07</v>
      </c>
      <c r="F398" s="1">
        <v>3</v>
      </c>
      <c r="G398" s="1">
        <v>0</v>
      </c>
      <c r="H398" s="1">
        <v>25</v>
      </c>
      <c r="I398" s="1">
        <v>5</v>
      </c>
      <c r="J398" s="1">
        <v>83.33</v>
      </c>
      <c r="K398" s="1">
        <v>2</v>
      </c>
      <c r="L398" s="1">
        <v>9</v>
      </c>
      <c r="M398" s="1">
        <v>3.125</v>
      </c>
      <c r="N398" s="1">
        <v>10</v>
      </c>
      <c r="O398" s="1">
        <v>776</v>
      </c>
      <c r="P398" s="1">
        <v>20.8066</v>
      </c>
      <c r="Q398" s="1">
        <v>2.4249999999999998</v>
      </c>
      <c r="R398" s="5">
        <v>1.1111111111111111E-3</v>
      </c>
      <c r="S398" s="1">
        <v>9578</v>
      </c>
      <c r="T398" s="6">
        <v>6.35</v>
      </c>
      <c r="U398" s="1" t="str">
        <f>IF(ISNUMBER(SEARCH("Vande Bharat",Table1[[#This Row],[Video title]])),"Vande Bharat","Other")</f>
        <v>Other</v>
      </c>
    </row>
    <row r="399" spans="1:21" x14ac:dyDescent="0.3">
      <c r="A399" s="4" t="s">
        <v>816</v>
      </c>
      <c r="B399" s="1" t="s">
        <v>817</v>
      </c>
      <c r="C399" s="7">
        <v>44687</v>
      </c>
      <c r="D399" s="1">
        <v>90</v>
      </c>
      <c r="E399" s="1">
        <v>37.07</v>
      </c>
      <c r="F399" s="1">
        <v>2</v>
      </c>
      <c r="G399" s="1">
        <v>0</v>
      </c>
      <c r="H399" s="1">
        <v>10</v>
      </c>
      <c r="I399" s="1">
        <v>1</v>
      </c>
      <c r="J399" s="1">
        <v>90.91</v>
      </c>
      <c r="K399" s="1">
        <v>0</v>
      </c>
      <c r="L399" s="1">
        <v>3</v>
      </c>
      <c r="M399" s="1">
        <v>10.555999999999999</v>
      </c>
      <c r="N399" s="1">
        <v>16</v>
      </c>
      <c r="O399" s="1">
        <v>735</v>
      </c>
      <c r="P399" s="1">
        <v>6.8120000000000003</v>
      </c>
      <c r="Q399" s="1">
        <v>7.7590000000000003</v>
      </c>
      <c r="R399" s="5">
        <v>3.8194444444444446E-4</v>
      </c>
      <c r="S399" s="1">
        <v>11196</v>
      </c>
      <c r="T399" s="6">
        <v>5.87</v>
      </c>
      <c r="U399" s="1" t="str">
        <f>IF(ISNUMBER(SEARCH("Vande Bharat",Table1[[#This Row],[Video title]])),"Vande Bharat","Other")</f>
        <v>Other</v>
      </c>
    </row>
    <row r="400" spans="1:21" x14ac:dyDescent="0.3">
      <c r="A400" s="4" t="s">
        <v>818</v>
      </c>
      <c r="B400" s="1" t="s">
        <v>819</v>
      </c>
      <c r="C400" s="7">
        <v>44468</v>
      </c>
      <c r="D400" s="1">
        <v>202</v>
      </c>
      <c r="E400" s="1">
        <v>29.55</v>
      </c>
      <c r="F400" s="1">
        <v>3</v>
      </c>
      <c r="G400" s="1">
        <v>0</v>
      </c>
      <c r="H400" s="1">
        <v>31</v>
      </c>
      <c r="I400" s="1">
        <v>0</v>
      </c>
      <c r="J400" s="1">
        <v>100</v>
      </c>
      <c r="K400" s="1">
        <v>7</v>
      </c>
      <c r="L400" s="1">
        <v>8</v>
      </c>
      <c r="M400" s="1">
        <v>28.423999999999999</v>
      </c>
      <c r="N400" s="1">
        <v>17</v>
      </c>
      <c r="O400" s="1">
        <v>797</v>
      </c>
      <c r="P400" s="1">
        <v>13.213100000000001</v>
      </c>
      <c r="Q400" s="1">
        <v>22.654</v>
      </c>
      <c r="R400" s="5">
        <v>6.8287037037037036E-4</v>
      </c>
      <c r="S400" s="1">
        <v>12209</v>
      </c>
      <c r="T400" s="6">
        <v>3.63</v>
      </c>
      <c r="U400" s="1" t="str">
        <f>IF(ISNUMBER(SEARCH("Vande Bharat",Table1[[#This Row],[Video title]])),"Vande Bharat","Other")</f>
        <v>Other</v>
      </c>
    </row>
    <row r="401" spans="1:21" x14ac:dyDescent="0.3">
      <c r="A401" s="4" t="s">
        <v>820</v>
      </c>
      <c r="B401" s="1" t="s">
        <v>821</v>
      </c>
      <c r="C401" s="7">
        <v>44335</v>
      </c>
      <c r="D401" s="1">
        <v>307</v>
      </c>
      <c r="E401" s="1">
        <v>33.78</v>
      </c>
      <c r="F401" s="1">
        <v>3</v>
      </c>
      <c r="G401" s="1">
        <v>1</v>
      </c>
      <c r="H401" s="1">
        <v>61</v>
      </c>
      <c r="I401" s="1">
        <v>2</v>
      </c>
      <c r="J401" s="1">
        <v>96.83</v>
      </c>
      <c r="K401" s="1">
        <v>1</v>
      </c>
      <c r="L401" s="1">
        <v>15</v>
      </c>
      <c r="M401" s="1">
        <v>20.285</v>
      </c>
      <c r="N401" s="1">
        <v>22</v>
      </c>
      <c r="O401" s="1">
        <v>898</v>
      </c>
      <c r="P401" s="1">
        <v>25.867000000000001</v>
      </c>
      <c r="Q401" s="1">
        <v>18.216000000000001</v>
      </c>
      <c r="R401" s="5">
        <v>1.1921296296296296E-3</v>
      </c>
      <c r="S401" s="1">
        <v>10085</v>
      </c>
      <c r="T401" s="6">
        <v>5.91</v>
      </c>
      <c r="U401" s="1" t="str">
        <f>IF(ISNUMBER(SEARCH("Vande Bharat",Table1[[#This Row],[Video title]])),"Vande Bharat","Other")</f>
        <v>Other</v>
      </c>
    </row>
    <row r="402" spans="1:21" x14ac:dyDescent="0.3">
      <c r="A402" s="4" t="s">
        <v>822</v>
      </c>
      <c r="B402" s="1" t="s">
        <v>823</v>
      </c>
      <c r="C402" s="7">
        <v>44955</v>
      </c>
      <c r="D402" s="1">
        <v>75</v>
      </c>
      <c r="E402" s="1">
        <v>47.64</v>
      </c>
      <c r="F402" s="1">
        <v>0</v>
      </c>
      <c r="G402" s="1">
        <v>0</v>
      </c>
      <c r="H402" s="1">
        <v>12</v>
      </c>
      <c r="I402" s="1">
        <v>0</v>
      </c>
      <c r="J402" s="1">
        <v>100</v>
      </c>
      <c r="K402" s="1">
        <v>0</v>
      </c>
      <c r="L402" s="1">
        <v>3</v>
      </c>
      <c r="M402" s="1">
        <v>8.2230000000000008</v>
      </c>
      <c r="N402" s="1">
        <v>15</v>
      </c>
      <c r="O402" s="1">
        <v>764</v>
      </c>
      <c r="P402" s="1">
        <v>7.5823</v>
      </c>
      <c r="Q402" s="1">
        <v>6.282</v>
      </c>
      <c r="R402" s="5">
        <v>4.0509259259259258E-4</v>
      </c>
      <c r="S402" s="1">
        <v>9826</v>
      </c>
      <c r="T402" s="6">
        <v>6.65</v>
      </c>
      <c r="U402" s="1" t="str">
        <f>IF(ISNUMBER(SEARCH("Vande Bharat",Table1[[#This Row],[Video title]])),"Vande Bharat","Other")</f>
        <v>Other</v>
      </c>
    </row>
    <row r="403" spans="1:21" x14ac:dyDescent="0.3">
      <c r="A403" s="4" t="s">
        <v>248</v>
      </c>
      <c r="B403" s="1" t="s">
        <v>249</v>
      </c>
      <c r="C403" s="7">
        <v>44968</v>
      </c>
      <c r="D403" s="1">
        <v>1729</v>
      </c>
      <c r="E403" s="1">
        <v>9.2799999999999994</v>
      </c>
      <c r="F403" s="1">
        <v>17</v>
      </c>
      <c r="G403" s="1">
        <v>0</v>
      </c>
      <c r="H403" s="1">
        <v>64</v>
      </c>
      <c r="I403" s="1">
        <v>1</v>
      </c>
      <c r="J403" s="1">
        <v>98.46</v>
      </c>
      <c r="K403" s="1">
        <v>27</v>
      </c>
      <c r="L403" s="1">
        <v>13</v>
      </c>
      <c r="M403" s="1">
        <v>29.09</v>
      </c>
      <c r="N403" s="1">
        <v>89</v>
      </c>
      <c r="O403" s="1">
        <v>3110</v>
      </c>
      <c r="P403" s="1">
        <v>138.6174</v>
      </c>
      <c r="Q403" s="1">
        <v>90.468999999999994</v>
      </c>
      <c r="R403" s="5">
        <v>1.8518518518518519E-3</v>
      </c>
      <c r="S403" s="1">
        <v>17884</v>
      </c>
      <c r="T403" s="6">
        <v>8.81</v>
      </c>
      <c r="U403" s="1" t="str">
        <f>IF(ISNUMBER(SEARCH("Vande Bharat",Table1[[#This Row],[Video title]])),"Vande Bharat","Other")</f>
        <v>Vande Bharat</v>
      </c>
    </row>
    <row r="404" spans="1:21" x14ac:dyDescent="0.3">
      <c r="A404" s="4" t="s">
        <v>826</v>
      </c>
      <c r="B404" s="1" t="s">
        <v>827</v>
      </c>
      <c r="C404" s="7">
        <v>44689</v>
      </c>
      <c r="D404" s="1">
        <v>4867</v>
      </c>
      <c r="E404" s="1">
        <v>4.83</v>
      </c>
      <c r="F404" s="1">
        <v>3</v>
      </c>
      <c r="G404" s="1">
        <v>1</v>
      </c>
      <c r="H404" s="1">
        <v>25</v>
      </c>
      <c r="I404" s="1">
        <v>0</v>
      </c>
      <c r="J404" s="1">
        <v>100</v>
      </c>
      <c r="K404" s="1">
        <v>2</v>
      </c>
      <c r="L404" s="1">
        <v>6</v>
      </c>
      <c r="M404" s="1">
        <v>44.493000000000002</v>
      </c>
      <c r="N404" s="1">
        <v>25</v>
      </c>
      <c r="O404" s="1">
        <v>877</v>
      </c>
      <c r="P404" s="1">
        <v>57.303199999999997</v>
      </c>
      <c r="Q404" s="1">
        <v>39.020000000000003</v>
      </c>
      <c r="R404" s="5">
        <v>2.7199074074074074E-3</v>
      </c>
      <c r="S404" s="1">
        <v>11087</v>
      </c>
      <c r="T404" s="6">
        <v>6.18</v>
      </c>
      <c r="U404" s="1" t="str">
        <f>IF(ISNUMBER(SEARCH("Vande Bharat",Table1[[#This Row],[Video title]])),"Vande Bharat","Other")</f>
        <v>Other</v>
      </c>
    </row>
    <row r="405" spans="1:21" x14ac:dyDescent="0.3">
      <c r="A405" s="4" t="s">
        <v>828</v>
      </c>
      <c r="B405" s="1" t="s">
        <v>829</v>
      </c>
      <c r="C405" s="7">
        <v>45012</v>
      </c>
      <c r="D405" s="1">
        <v>54</v>
      </c>
      <c r="E405" s="1">
        <v>45.09</v>
      </c>
      <c r="F405" s="1">
        <v>0</v>
      </c>
      <c r="G405" s="1">
        <v>0</v>
      </c>
      <c r="H405" s="1">
        <v>14</v>
      </c>
      <c r="I405" s="1">
        <v>1</v>
      </c>
      <c r="J405" s="1">
        <v>93.33</v>
      </c>
      <c r="K405" s="1">
        <v>0</v>
      </c>
      <c r="L405" s="1">
        <v>5</v>
      </c>
      <c r="M405" s="1">
        <v>14.925000000000001</v>
      </c>
      <c r="N405" s="1">
        <v>11</v>
      </c>
      <c r="O405" s="1">
        <v>814</v>
      </c>
      <c r="P405" s="1">
        <v>5.5049999999999999</v>
      </c>
      <c r="Q405" s="1">
        <v>12.148</v>
      </c>
      <c r="R405" s="5">
        <v>2.7777777777777778E-4</v>
      </c>
      <c r="S405" s="1">
        <v>8204</v>
      </c>
      <c r="T405" s="6">
        <v>8</v>
      </c>
      <c r="U405" s="1" t="str">
        <f>IF(ISNUMBER(SEARCH("Vande Bharat",Table1[[#This Row],[Video title]])),"Vande Bharat","Other")</f>
        <v>Other</v>
      </c>
    </row>
    <row r="406" spans="1:21" x14ac:dyDescent="0.3">
      <c r="A406" s="4" t="s">
        <v>830</v>
      </c>
      <c r="B406" s="1" t="s">
        <v>831</v>
      </c>
      <c r="C406" s="7">
        <v>45345</v>
      </c>
      <c r="D406" s="1">
        <v>76</v>
      </c>
      <c r="E406" s="1">
        <v>48.46</v>
      </c>
      <c r="F406" s="1">
        <v>1</v>
      </c>
      <c r="G406" s="1">
        <v>0</v>
      </c>
      <c r="H406" s="1">
        <v>18</v>
      </c>
      <c r="I406" s="1">
        <v>1</v>
      </c>
      <c r="J406" s="1">
        <v>94.74</v>
      </c>
      <c r="K406" s="1">
        <v>4</v>
      </c>
      <c r="L406" s="1">
        <v>5</v>
      </c>
      <c r="M406" s="1">
        <v>24.337</v>
      </c>
      <c r="N406" s="1">
        <v>19</v>
      </c>
      <c r="O406" s="1">
        <v>756</v>
      </c>
      <c r="P406" s="1">
        <v>7.734</v>
      </c>
      <c r="Q406" s="1">
        <v>18.399000000000001</v>
      </c>
      <c r="R406" s="5">
        <v>4.1666666666666669E-4</v>
      </c>
      <c r="S406" s="1">
        <v>9147</v>
      </c>
      <c r="T406" s="6">
        <v>6.11</v>
      </c>
      <c r="U406" s="1" t="str">
        <f>IF(ISNUMBER(SEARCH("Vande Bharat",Table1[[#This Row],[Video title]])),"Vande Bharat","Other")</f>
        <v>Other</v>
      </c>
    </row>
    <row r="407" spans="1:21" x14ac:dyDescent="0.3">
      <c r="A407" s="4" t="s">
        <v>832</v>
      </c>
      <c r="B407" s="1" t="s">
        <v>833</v>
      </c>
      <c r="C407" s="7">
        <v>44284</v>
      </c>
      <c r="D407" s="1">
        <v>147</v>
      </c>
      <c r="E407" s="1">
        <v>32.82</v>
      </c>
      <c r="F407" s="1">
        <v>3</v>
      </c>
      <c r="G407" s="1">
        <v>1</v>
      </c>
      <c r="H407" s="1">
        <v>26</v>
      </c>
      <c r="I407" s="1">
        <v>3</v>
      </c>
      <c r="J407" s="1">
        <v>89.66</v>
      </c>
      <c r="K407" s="1">
        <v>1</v>
      </c>
      <c r="L407" s="1">
        <v>11</v>
      </c>
      <c r="M407" s="1">
        <v>2.911</v>
      </c>
      <c r="N407" s="1">
        <v>4</v>
      </c>
      <c r="O407" s="1">
        <v>790</v>
      </c>
      <c r="P407" s="1">
        <v>10.5876</v>
      </c>
      <c r="Q407" s="1">
        <v>2.2999999999999998</v>
      </c>
      <c r="R407" s="5">
        <v>5.5555555555555556E-4</v>
      </c>
      <c r="S407" s="1">
        <v>8642</v>
      </c>
      <c r="T407" s="6">
        <v>6.54</v>
      </c>
      <c r="U407" s="1" t="str">
        <f>IF(ISNUMBER(SEARCH("Vande Bharat",Table1[[#This Row],[Video title]])),"Vande Bharat","Other")</f>
        <v>Other</v>
      </c>
    </row>
    <row r="408" spans="1:21" x14ac:dyDescent="0.3">
      <c r="A408" s="4" t="s">
        <v>834</v>
      </c>
      <c r="B408" s="1" t="s">
        <v>835</v>
      </c>
      <c r="C408" s="7">
        <v>44372</v>
      </c>
      <c r="D408" s="1">
        <v>150</v>
      </c>
      <c r="E408" s="1">
        <v>49.14</v>
      </c>
      <c r="F408" s="1">
        <v>2</v>
      </c>
      <c r="G408" s="1">
        <v>0</v>
      </c>
      <c r="H408" s="1">
        <v>41</v>
      </c>
      <c r="I408" s="1">
        <v>2</v>
      </c>
      <c r="J408" s="1">
        <v>95.35</v>
      </c>
      <c r="K408" s="1">
        <v>4</v>
      </c>
      <c r="L408" s="1">
        <v>13</v>
      </c>
      <c r="M408" s="1">
        <v>21.689</v>
      </c>
      <c r="N408" s="1">
        <v>9</v>
      </c>
      <c r="O408" s="1">
        <v>759</v>
      </c>
      <c r="P408" s="1">
        <v>15.54</v>
      </c>
      <c r="Q408" s="1">
        <v>16.462</v>
      </c>
      <c r="R408" s="5">
        <v>8.4490740740740739E-4</v>
      </c>
      <c r="S408" s="1">
        <v>6310</v>
      </c>
      <c r="T408" s="6">
        <v>8.76</v>
      </c>
      <c r="U408" s="1" t="str">
        <f>IF(ISNUMBER(SEARCH("Vande Bharat",Table1[[#This Row],[Video title]])),"Vande Bharat","Other")</f>
        <v>Other</v>
      </c>
    </row>
    <row r="409" spans="1:21" x14ac:dyDescent="0.3">
      <c r="A409" s="4" t="s">
        <v>836</v>
      </c>
      <c r="B409" s="1" t="s">
        <v>837</v>
      </c>
      <c r="C409" s="7">
        <v>44576</v>
      </c>
      <c r="D409" s="1">
        <v>91</v>
      </c>
      <c r="E409" s="1">
        <v>41.77</v>
      </c>
      <c r="F409" s="1">
        <v>0</v>
      </c>
      <c r="G409" s="1">
        <v>1</v>
      </c>
      <c r="H409" s="1">
        <v>27</v>
      </c>
      <c r="I409" s="1">
        <v>0</v>
      </c>
      <c r="J409" s="1">
        <v>100</v>
      </c>
      <c r="K409" s="1">
        <v>1</v>
      </c>
      <c r="L409" s="1">
        <v>12</v>
      </c>
      <c r="M409" s="1">
        <v>19.827999999999999</v>
      </c>
      <c r="N409" s="1">
        <v>14</v>
      </c>
      <c r="O409" s="1">
        <v>800</v>
      </c>
      <c r="P409" s="1">
        <v>8.4464000000000006</v>
      </c>
      <c r="Q409" s="1">
        <v>15.862</v>
      </c>
      <c r="R409" s="5">
        <v>4.3981481481481481E-4</v>
      </c>
      <c r="S409" s="1">
        <v>7506</v>
      </c>
      <c r="T409" s="6">
        <v>5.73</v>
      </c>
      <c r="U409" s="1" t="str">
        <f>IF(ISNUMBER(SEARCH("Vande Bharat",Table1[[#This Row],[Video title]])),"Vande Bharat","Other")</f>
        <v>Other</v>
      </c>
    </row>
    <row r="410" spans="1:21" x14ac:dyDescent="0.3">
      <c r="A410" s="4" t="s">
        <v>838</v>
      </c>
      <c r="B410" s="1" t="s">
        <v>839</v>
      </c>
      <c r="C410" s="7">
        <v>45572</v>
      </c>
      <c r="D410" s="1">
        <v>20</v>
      </c>
      <c r="E410" s="1">
        <v>56.43</v>
      </c>
      <c r="F410" s="1">
        <v>2</v>
      </c>
      <c r="G410" s="1">
        <v>0</v>
      </c>
      <c r="H410" s="1">
        <v>19</v>
      </c>
      <c r="I410" s="1">
        <v>1</v>
      </c>
      <c r="J410" s="1">
        <v>95</v>
      </c>
      <c r="K410" s="1">
        <v>0</v>
      </c>
      <c r="L410" s="1">
        <v>0</v>
      </c>
      <c r="M410" s="1">
        <v>0.79700000000000004</v>
      </c>
      <c r="N410" s="1">
        <v>34</v>
      </c>
      <c r="O410" s="1">
        <v>741</v>
      </c>
      <c r="P410" s="1">
        <v>2.2012</v>
      </c>
      <c r="Q410" s="1">
        <v>0.55500000000000005</v>
      </c>
      <c r="R410" s="5">
        <v>1.273148148148148E-4</v>
      </c>
      <c r="S410" s="1">
        <v>1950</v>
      </c>
      <c r="T410" s="6">
        <v>3.18</v>
      </c>
      <c r="U410" s="1" t="str">
        <f>IF(ISNUMBER(SEARCH("Vande Bharat",Table1[[#This Row],[Video title]])),"Vande Bharat","Other")</f>
        <v>Other</v>
      </c>
    </row>
    <row r="411" spans="1:21" x14ac:dyDescent="0.3">
      <c r="A411" s="4" t="s">
        <v>840</v>
      </c>
      <c r="B411" s="1" t="s">
        <v>841</v>
      </c>
      <c r="C411" s="7">
        <v>44409</v>
      </c>
      <c r="D411" s="1">
        <v>72</v>
      </c>
      <c r="E411" s="1">
        <v>52.34</v>
      </c>
      <c r="F411" s="1">
        <v>1</v>
      </c>
      <c r="G411" s="1">
        <v>0</v>
      </c>
      <c r="H411" s="1">
        <v>35</v>
      </c>
      <c r="I411" s="1">
        <v>3</v>
      </c>
      <c r="J411" s="1">
        <v>92.11</v>
      </c>
      <c r="K411" s="1">
        <v>2</v>
      </c>
      <c r="L411" s="1">
        <v>17</v>
      </c>
      <c r="M411" s="1">
        <v>15.368</v>
      </c>
      <c r="N411" s="1">
        <v>10</v>
      </c>
      <c r="O411" s="1">
        <v>768</v>
      </c>
      <c r="P411" s="1">
        <v>8.0397999999999996</v>
      </c>
      <c r="Q411" s="1">
        <v>11.803000000000001</v>
      </c>
      <c r="R411" s="5">
        <v>4.2824074074074075E-4</v>
      </c>
      <c r="S411" s="1">
        <v>7459</v>
      </c>
      <c r="T411" s="6">
        <v>7.23</v>
      </c>
      <c r="U411" s="1" t="str">
        <f>IF(ISNUMBER(SEARCH("Vande Bharat",Table1[[#This Row],[Video title]])),"Vande Bharat","Other")</f>
        <v>Other</v>
      </c>
    </row>
    <row r="412" spans="1:21" x14ac:dyDescent="0.3">
      <c r="A412" s="4" t="s">
        <v>842</v>
      </c>
      <c r="B412" s="1" t="s">
        <v>843</v>
      </c>
      <c r="C412" s="7">
        <v>44416</v>
      </c>
      <c r="D412" s="1">
        <v>89</v>
      </c>
      <c r="E412" s="1">
        <v>49.95</v>
      </c>
      <c r="F412" s="1">
        <v>4</v>
      </c>
      <c r="G412" s="1">
        <v>0</v>
      </c>
      <c r="H412" s="1">
        <v>43</v>
      </c>
      <c r="I412" s="1">
        <v>0</v>
      </c>
      <c r="J412" s="1">
        <v>100</v>
      </c>
      <c r="K412" s="1">
        <v>1</v>
      </c>
      <c r="L412" s="1">
        <v>13</v>
      </c>
      <c r="M412" s="1">
        <v>16.315999999999999</v>
      </c>
      <c r="N412" s="1">
        <v>9</v>
      </c>
      <c r="O412" s="1">
        <v>756</v>
      </c>
      <c r="P412" s="1">
        <v>9.3353000000000002</v>
      </c>
      <c r="Q412" s="1">
        <v>12.335000000000001</v>
      </c>
      <c r="R412" s="5">
        <v>5.0925925925925921E-4</v>
      </c>
      <c r="S412" s="1">
        <v>6988</v>
      </c>
      <c r="T412" s="6">
        <v>6.85</v>
      </c>
      <c r="U412" s="1" t="str">
        <f>IF(ISNUMBER(SEARCH("Vande Bharat",Table1[[#This Row],[Video title]])),"Vande Bharat","Other")</f>
        <v>Other</v>
      </c>
    </row>
    <row r="413" spans="1:21" x14ac:dyDescent="0.3">
      <c r="A413" s="4" t="s">
        <v>844</v>
      </c>
      <c r="B413" s="1" t="s">
        <v>845</v>
      </c>
      <c r="C413" s="7">
        <v>44363</v>
      </c>
      <c r="D413" s="1">
        <v>92</v>
      </c>
      <c r="E413" s="1">
        <v>53.82</v>
      </c>
      <c r="F413" s="1">
        <v>1</v>
      </c>
      <c r="G413" s="1">
        <v>0</v>
      </c>
      <c r="H413" s="1">
        <v>35</v>
      </c>
      <c r="I413" s="1">
        <v>1</v>
      </c>
      <c r="J413" s="1">
        <v>97.22</v>
      </c>
      <c r="K413" s="1">
        <v>0</v>
      </c>
      <c r="L413" s="1">
        <v>10</v>
      </c>
      <c r="M413" s="1">
        <v>29.4</v>
      </c>
      <c r="N413" s="1">
        <v>14</v>
      </c>
      <c r="O413" s="1">
        <v>742</v>
      </c>
      <c r="P413" s="1">
        <v>10.204700000000001</v>
      </c>
      <c r="Q413" s="1">
        <v>21.815000000000001</v>
      </c>
      <c r="R413" s="5">
        <v>5.6712962962962967E-4</v>
      </c>
      <c r="S413" s="1">
        <v>5741</v>
      </c>
      <c r="T413" s="6">
        <v>9.49</v>
      </c>
      <c r="U413" s="1" t="str">
        <f>IF(ISNUMBER(SEARCH("Vande Bharat",Table1[[#This Row],[Video title]])),"Vande Bharat","Other")</f>
        <v>Other</v>
      </c>
    </row>
    <row r="414" spans="1:21" x14ac:dyDescent="0.3">
      <c r="A414" s="4" t="s">
        <v>846</v>
      </c>
      <c r="B414" s="1" t="s">
        <v>847</v>
      </c>
      <c r="C414" s="7">
        <v>44472</v>
      </c>
      <c r="D414" s="1">
        <v>286</v>
      </c>
      <c r="E414" s="1">
        <v>31.24</v>
      </c>
      <c r="F414" s="1">
        <v>1</v>
      </c>
      <c r="G414" s="1">
        <v>1</v>
      </c>
      <c r="H414" s="1">
        <v>45</v>
      </c>
      <c r="I414" s="1">
        <v>1</v>
      </c>
      <c r="J414" s="1">
        <v>97.83</v>
      </c>
      <c r="K414" s="1">
        <v>0</v>
      </c>
      <c r="L414" s="1">
        <v>10</v>
      </c>
      <c r="M414" s="1">
        <v>29.172000000000001</v>
      </c>
      <c r="N414" s="1">
        <v>13</v>
      </c>
      <c r="O414" s="1">
        <v>774</v>
      </c>
      <c r="P414" s="1">
        <v>19.211200000000002</v>
      </c>
      <c r="Q414" s="1">
        <v>22.579000000000001</v>
      </c>
      <c r="R414" s="5">
        <v>1.0300925925925926E-3</v>
      </c>
      <c r="S414" s="1">
        <v>8232</v>
      </c>
      <c r="T414" s="6">
        <v>6.04</v>
      </c>
      <c r="U414" s="1" t="str">
        <f>IF(ISNUMBER(SEARCH("Vande Bharat",Table1[[#This Row],[Video title]])),"Vande Bharat","Other")</f>
        <v>Other</v>
      </c>
    </row>
    <row r="415" spans="1:21" x14ac:dyDescent="0.3">
      <c r="A415" s="4" t="s">
        <v>848</v>
      </c>
      <c r="B415" s="1" t="s">
        <v>849</v>
      </c>
      <c r="C415" s="7">
        <v>46090</v>
      </c>
      <c r="D415" s="1">
        <v>39</v>
      </c>
      <c r="E415" s="1">
        <v>51.68</v>
      </c>
      <c r="F415" s="1">
        <v>0</v>
      </c>
      <c r="G415" s="1">
        <v>0</v>
      </c>
      <c r="H415" s="1">
        <v>34</v>
      </c>
      <c r="I415" s="1">
        <v>2</v>
      </c>
      <c r="J415" s="1">
        <v>94.44</v>
      </c>
      <c r="K415" s="1">
        <v>0</v>
      </c>
      <c r="L415" s="1">
        <v>1</v>
      </c>
      <c r="M415" s="1">
        <v>1.1200000000000001</v>
      </c>
      <c r="N415" s="1">
        <v>51</v>
      </c>
      <c r="O415" s="1">
        <v>1359</v>
      </c>
      <c r="P415" s="1">
        <v>4.1440999999999999</v>
      </c>
      <c r="Q415" s="1">
        <v>0.77600000000000002</v>
      </c>
      <c r="R415" s="5">
        <v>2.3148148148148149E-4</v>
      </c>
      <c r="S415" s="1">
        <v>2484</v>
      </c>
      <c r="T415" s="6">
        <v>4.43</v>
      </c>
      <c r="U415" s="1" t="str">
        <f>IF(ISNUMBER(SEARCH("Vande Bharat",Table1[[#This Row],[Video title]])),"Vande Bharat","Other")</f>
        <v>Other</v>
      </c>
    </row>
    <row r="416" spans="1:21" x14ac:dyDescent="0.3">
      <c r="A416" s="4" t="s">
        <v>850</v>
      </c>
      <c r="B416" s="1" t="s">
        <v>851</v>
      </c>
      <c r="C416" s="7">
        <v>44440</v>
      </c>
      <c r="D416" s="1">
        <v>105</v>
      </c>
      <c r="E416" s="1">
        <v>39.33</v>
      </c>
      <c r="F416" s="1">
        <v>1</v>
      </c>
      <c r="G416" s="1">
        <v>0</v>
      </c>
      <c r="H416" s="1">
        <v>30</v>
      </c>
      <c r="I416" s="1">
        <v>1</v>
      </c>
      <c r="J416" s="1">
        <v>96.77</v>
      </c>
      <c r="K416" s="1">
        <v>0</v>
      </c>
      <c r="L416" s="1">
        <v>8</v>
      </c>
      <c r="M416" s="1">
        <v>16.867999999999999</v>
      </c>
      <c r="N416" s="1">
        <v>10</v>
      </c>
      <c r="O416" s="1">
        <v>722</v>
      </c>
      <c r="P416" s="1">
        <v>8.2825000000000006</v>
      </c>
      <c r="Q416" s="1">
        <v>12.179</v>
      </c>
      <c r="R416" s="5">
        <v>4.7453703703703704E-4</v>
      </c>
      <c r="S416" s="1">
        <v>6311</v>
      </c>
      <c r="T416" s="6">
        <v>7.59</v>
      </c>
      <c r="U416" s="1" t="str">
        <f>IF(ISNUMBER(SEARCH("Vande Bharat",Table1[[#This Row],[Video title]])),"Vande Bharat","Other")</f>
        <v>Other</v>
      </c>
    </row>
    <row r="417" spans="1:21" x14ac:dyDescent="0.3">
      <c r="A417" s="4" t="s">
        <v>852</v>
      </c>
      <c r="B417" s="1" t="s">
        <v>853</v>
      </c>
      <c r="C417" s="7">
        <v>46019</v>
      </c>
      <c r="D417" s="1">
        <v>33</v>
      </c>
      <c r="E417" s="1">
        <v>55</v>
      </c>
      <c r="F417" s="1">
        <v>0</v>
      </c>
      <c r="G417" s="1">
        <v>0</v>
      </c>
      <c r="H417" s="1">
        <v>19</v>
      </c>
      <c r="I417" s="1">
        <v>2</v>
      </c>
      <c r="J417" s="1">
        <v>90.48</v>
      </c>
      <c r="K417" s="1">
        <v>1</v>
      </c>
      <c r="L417" s="1">
        <v>1</v>
      </c>
      <c r="M417" s="1">
        <v>0.80600000000000005</v>
      </c>
      <c r="N417" s="1">
        <v>72</v>
      </c>
      <c r="O417" s="1">
        <v>1252</v>
      </c>
      <c r="P417" s="1">
        <v>3.6162999999999998</v>
      </c>
      <c r="Q417" s="1">
        <v>0.54600000000000004</v>
      </c>
      <c r="R417" s="5">
        <v>2.0833333333333335E-4</v>
      </c>
      <c r="S417" s="1">
        <v>904</v>
      </c>
      <c r="T417" s="6">
        <v>2.54</v>
      </c>
      <c r="U417" s="1" t="str">
        <f>IF(ISNUMBER(SEARCH("Vande Bharat",Table1[[#This Row],[Video title]])),"Vande Bharat","Other")</f>
        <v>Other</v>
      </c>
    </row>
    <row r="418" spans="1:21" x14ac:dyDescent="0.3">
      <c r="A418" s="4" t="s">
        <v>854</v>
      </c>
      <c r="B418" s="1" t="s">
        <v>855</v>
      </c>
      <c r="C418" s="7">
        <v>44651</v>
      </c>
      <c r="D418" s="1">
        <v>165</v>
      </c>
      <c r="E418" s="1">
        <v>33.36</v>
      </c>
      <c r="F418" s="1">
        <v>1</v>
      </c>
      <c r="G418" s="1">
        <v>0</v>
      </c>
      <c r="H418" s="1">
        <v>24</v>
      </c>
      <c r="I418" s="1">
        <v>1</v>
      </c>
      <c r="J418" s="1">
        <v>96</v>
      </c>
      <c r="K418" s="1">
        <v>1</v>
      </c>
      <c r="L418" s="1">
        <v>9</v>
      </c>
      <c r="M418" s="1">
        <v>27.25</v>
      </c>
      <c r="N418" s="1">
        <v>11</v>
      </c>
      <c r="O418" s="1">
        <v>752</v>
      </c>
      <c r="P418" s="1">
        <v>11.497299999999999</v>
      </c>
      <c r="Q418" s="1">
        <v>20.492000000000001</v>
      </c>
      <c r="R418" s="5">
        <v>6.3657407407407413E-4</v>
      </c>
      <c r="S418" s="1">
        <v>6772</v>
      </c>
      <c r="T418" s="6">
        <v>7.13</v>
      </c>
      <c r="U418" s="1" t="str">
        <f>IF(ISNUMBER(SEARCH("Vande Bharat",Table1[[#This Row],[Video title]])),"Vande Bharat","Other")</f>
        <v>Other</v>
      </c>
    </row>
    <row r="419" spans="1:21" x14ac:dyDescent="0.3">
      <c r="A419" s="4" t="s">
        <v>454</v>
      </c>
      <c r="B419" s="1" t="s">
        <v>455</v>
      </c>
      <c r="C419" s="7">
        <v>44967</v>
      </c>
      <c r="D419" s="1">
        <v>384</v>
      </c>
      <c r="E419" s="1">
        <v>17.48</v>
      </c>
      <c r="F419" s="1">
        <v>0</v>
      </c>
      <c r="G419" s="1">
        <v>0</v>
      </c>
      <c r="H419" s="1">
        <v>41</v>
      </c>
      <c r="I419" s="1">
        <v>1</v>
      </c>
      <c r="J419" s="1">
        <v>97.62</v>
      </c>
      <c r="K419" s="1">
        <v>7</v>
      </c>
      <c r="L419" s="1">
        <v>2</v>
      </c>
      <c r="M419" s="1">
        <v>25.238</v>
      </c>
      <c r="N419" s="1">
        <v>44</v>
      </c>
      <c r="O419" s="1">
        <v>1798</v>
      </c>
      <c r="P419" s="1">
        <v>33.519100000000002</v>
      </c>
      <c r="Q419" s="1">
        <v>45.286000000000001</v>
      </c>
      <c r="R419" s="5">
        <v>7.7546296296296293E-4</v>
      </c>
      <c r="S419" s="1">
        <v>13245</v>
      </c>
      <c r="T419" s="6">
        <v>10.95</v>
      </c>
      <c r="U419" s="1" t="str">
        <f>IF(ISNUMBER(SEARCH("Vande Bharat",Table1[[#This Row],[Video title]])),"Vande Bharat","Other")</f>
        <v>Vande Bharat</v>
      </c>
    </row>
    <row r="420" spans="1:21" x14ac:dyDescent="0.3">
      <c r="A420" s="4" t="s">
        <v>858</v>
      </c>
      <c r="B420" s="1" t="s">
        <v>859</v>
      </c>
      <c r="C420" s="7">
        <v>44432</v>
      </c>
      <c r="D420" s="1">
        <v>116</v>
      </c>
      <c r="E420" s="1">
        <v>42.63</v>
      </c>
      <c r="F420" s="1">
        <v>0</v>
      </c>
      <c r="G420" s="1">
        <v>0</v>
      </c>
      <c r="H420" s="1">
        <v>40</v>
      </c>
      <c r="I420" s="1">
        <v>1</v>
      </c>
      <c r="J420" s="1">
        <v>97.56</v>
      </c>
      <c r="K420" s="1">
        <v>3</v>
      </c>
      <c r="L420" s="1">
        <v>6</v>
      </c>
      <c r="M420" s="1">
        <v>14.9</v>
      </c>
      <c r="N420" s="1">
        <v>12</v>
      </c>
      <c r="O420" s="1">
        <v>740</v>
      </c>
      <c r="P420" s="1">
        <v>10.1654</v>
      </c>
      <c r="Q420" s="1">
        <v>11.026</v>
      </c>
      <c r="R420" s="5">
        <v>5.6712962962962967E-4</v>
      </c>
      <c r="S420" s="1">
        <v>6637</v>
      </c>
      <c r="T420" s="6">
        <v>6.46</v>
      </c>
      <c r="U420" s="1" t="str">
        <f>IF(ISNUMBER(SEARCH("Vande Bharat",Table1[[#This Row],[Video title]])),"Vande Bharat","Other")</f>
        <v>Other</v>
      </c>
    </row>
    <row r="421" spans="1:21" x14ac:dyDescent="0.3">
      <c r="A421" s="4" t="s">
        <v>860</v>
      </c>
      <c r="B421" s="1" t="s">
        <v>861</v>
      </c>
      <c r="C421" s="7">
        <v>44770</v>
      </c>
      <c r="D421" s="1">
        <v>34</v>
      </c>
      <c r="E421" s="1">
        <v>61.58</v>
      </c>
      <c r="F421" s="1">
        <v>2</v>
      </c>
      <c r="G421" s="1">
        <v>1</v>
      </c>
      <c r="H421" s="1">
        <v>18</v>
      </c>
      <c r="I421" s="1">
        <v>1</v>
      </c>
      <c r="J421" s="1">
        <v>94.74</v>
      </c>
      <c r="K421" s="1">
        <v>3</v>
      </c>
      <c r="L421" s="1">
        <v>8</v>
      </c>
      <c r="M421" s="1">
        <v>18.123000000000001</v>
      </c>
      <c r="N421" s="1">
        <v>5</v>
      </c>
      <c r="O421" s="1">
        <v>700</v>
      </c>
      <c r="P421" s="1">
        <v>4.0709</v>
      </c>
      <c r="Q421" s="1">
        <v>12.686</v>
      </c>
      <c r="R421" s="5">
        <v>2.3148148148148149E-4</v>
      </c>
      <c r="S421" s="1">
        <v>6836</v>
      </c>
      <c r="T421" s="6">
        <v>8.73</v>
      </c>
      <c r="U421" s="1" t="str">
        <f>IF(ISNUMBER(SEARCH("Vande Bharat",Table1[[#This Row],[Video title]])),"Vande Bharat","Other")</f>
        <v>Other</v>
      </c>
    </row>
    <row r="422" spans="1:21" x14ac:dyDescent="0.3">
      <c r="A422" s="4" t="s">
        <v>862</v>
      </c>
      <c r="B422" s="1" t="s">
        <v>863</v>
      </c>
      <c r="C422" s="7">
        <v>45963</v>
      </c>
      <c r="D422" s="1">
        <v>48</v>
      </c>
      <c r="E422" s="1">
        <v>40.15</v>
      </c>
      <c r="F422" s="1">
        <v>0</v>
      </c>
      <c r="G422" s="1">
        <v>0</v>
      </c>
      <c r="H422" s="1">
        <v>42</v>
      </c>
      <c r="I422" s="1">
        <v>1</v>
      </c>
      <c r="J422" s="1">
        <v>97.67</v>
      </c>
      <c r="K422" s="1">
        <v>0</v>
      </c>
      <c r="L422" s="1">
        <v>1</v>
      </c>
      <c r="M422" s="1">
        <v>0.90200000000000002</v>
      </c>
      <c r="N422" s="1">
        <v>41</v>
      </c>
      <c r="O422" s="1">
        <v>1288</v>
      </c>
      <c r="P422" s="1">
        <v>3.9024999999999999</v>
      </c>
      <c r="Q422" s="1">
        <v>0.61699999999999999</v>
      </c>
      <c r="R422" s="5">
        <v>2.199074074074074E-4</v>
      </c>
      <c r="S422" s="1">
        <v>1846</v>
      </c>
      <c r="T422" s="6">
        <v>3.36</v>
      </c>
      <c r="U422" s="1" t="str">
        <f>IF(ISNUMBER(SEARCH("Vande Bharat",Table1[[#This Row],[Video title]])),"Vande Bharat","Other")</f>
        <v>Other</v>
      </c>
    </row>
    <row r="423" spans="1:21" x14ac:dyDescent="0.3">
      <c r="A423" s="4" t="s">
        <v>864</v>
      </c>
      <c r="B423" s="1" t="s">
        <v>865</v>
      </c>
      <c r="C423" s="7">
        <v>44354</v>
      </c>
      <c r="D423" s="1">
        <v>152</v>
      </c>
      <c r="E423" s="1">
        <v>43.57</v>
      </c>
      <c r="F423" s="1">
        <v>3</v>
      </c>
      <c r="G423" s="1">
        <v>1</v>
      </c>
      <c r="H423" s="1">
        <v>39</v>
      </c>
      <c r="I423" s="1">
        <v>3</v>
      </c>
      <c r="J423" s="1">
        <v>92.86</v>
      </c>
      <c r="K423" s="1">
        <v>0</v>
      </c>
      <c r="L423" s="1">
        <v>16</v>
      </c>
      <c r="M423" s="1">
        <v>14.907999999999999</v>
      </c>
      <c r="N423" s="1">
        <v>14</v>
      </c>
      <c r="O423" s="1">
        <v>749</v>
      </c>
      <c r="P423" s="1">
        <v>13.675599999999999</v>
      </c>
      <c r="Q423" s="1">
        <v>11.151</v>
      </c>
      <c r="R423" s="5">
        <v>7.5231481481481482E-4</v>
      </c>
      <c r="S423" s="1">
        <v>6081</v>
      </c>
      <c r="T423" s="6">
        <v>9.0399999999999991</v>
      </c>
      <c r="U423" s="1" t="str">
        <f>IF(ISNUMBER(SEARCH("Vande Bharat",Table1[[#This Row],[Video title]])),"Vande Bharat","Other")</f>
        <v>Other</v>
      </c>
    </row>
    <row r="424" spans="1:21" x14ac:dyDescent="0.3">
      <c r="A424" s="4" t="s">
        <v>866</v>
      </c>
      <c r="B424" s="1" t="s">
        <v>867</v>
      </c>
      <c r="C424" s="7">
        <v>44542</v>
      </c>
      <c r="D424" s="1">
        <v>67</v>
      </c>
      <c r="E424" s="1">
        <v>46.98</v>
      </c>
      <c r="F424" s="1">
        <v>3</v>
      </c>
      <c r="G424" s="1">
        <v>0</v>
      </c>
      <c r="H424" s="1">
        <v>28</v>
      </c>
      <c r="I424" s="1">
        <v>2</v>
      </c>
      <c r="J424" s="1">
        <v>93.33</v>
      </c>
      <c r="K424" s="1">
        <v>0</v>
      </c>
      <c r="L424" s="1">
        <v>9</v>
      </c>
      <c r="M424" s="1">
        <v>24.34</v>
      </c>
      <c r="N424" s="1">
        <v>11</v>
      </c>
      <c r="O424" s="1">
        <v>789</v>
      </c>
      <c r="P424" s="1">
        <v>6.8987999999999996</v>
      </c>
      <c r="Q424" s="1">
        <v>19.204000000000001</v>
      </c>
      <c r="R424" s="5">
        <v>3.5879629629629629E-4</v>
      </c>
      <c r="S424" s="1">
        <v>5801</v>
      </c>
      <c r="T424" s="6">
        <v>8.98</v>
      </c>
      <c r="U424" s="1" t="str">
        <f>IF(ISNUMBER(SEARCH("Vande Bharat",Table1[[#This Row],[Video title]])),"Vande Bharat","Other")</f>
        <v>Other</v>
      </c>
    </row>
    <row r="425" spans="1:21" x14ac:dyDescent="0.3">
      <c r="A425" s="4" t="s">
        <v>868</v>
      </c>
      <c r="B425" s="1" t="s">
        <v>869</v>
      </c>
      <c r="C425" s="7">
        <v>43564</v>
      </c>
      <c r="D425" s="1">
        <v>212</v>
      </c>
      <c r="E425" s="1">
        <v>24.34</v>
      </c>
      <c r="F425" s="1">
        <v>5</v>
      </c>
      <c r="G425" s="1">
        <v>0</v>
      </c>
      <c r="H425" s="1">
        <v>15</v>
      </c>
      <c r="I425" s="1">
        <v>2</v>
      </c>
      <c r="J425" s="1">
        <v>88.24</v>
      </c>
      <c r="K425" s="1">
        <v>3</v>
      </c>
      <c r="L425" s="1">
        <v>0</v>
      </c>
      <c r="M425" s="1">
        <v>0.47199999999999998</v>
      </c>
      <c r="N425" s="1">
        <v>0</v>
      </c>
      <c r="O425" s="1">
        <v>699</v>
      </c>
      <c r="P425" s="1">
        <v>10.0177</v>
      </c>
      <c r="Q425" s="1">
        <v>0.33</v>
      </c>
      <c r="R425" s="5">
        <v>5.9027777777777778E-4</v>
      </c>
      <c r="S425" s="1">
        <v>8307</v>
      </c>
      <c r="T425" s="6">
        <v>6.54</v>
      </c>
      <c r="U425" s="1" t="str">
        <f>IF(ISNUMBER(SEARCH("Vande Bharat",Table1[[#This Row],[Video title]])),"Vande Bharat","Other")</f>
        <v>Other</v>
      </c>
    </row>
    <row r="426" spans="1:21" x14ac:dyDescent="0.3">
      <c r="A426" s="4" t="s">
        <v>870</v>
      </c>
      <c r="B426" s="1" t="s">
        <v>871</v>
      </c>
      <c r="C426" s="7">
        <v>46157</v>
      </c>
      <c r="D426" s="1">
        <v>2433</v>
      </c>
      <c r="E426" s="1">
        <v>10.130000000000001</v>
      </c>
      <c r="F426" s="1">
        <v>5</v>
      </c>
      <c r="G426" s="1">
        <v>0</v>
      </c>
      <c r="H426" s="1">
        <v>22</v>
      </c>
      <c r="I426" s="1">
        <v>1</v>
      </c>
      <c r="J426" s="1">
        <v>95.65</v>
      </c>
      <c r="K426" s="1">
        <v>0</v>
      </c>
      <c r="L426" s="1">
        <v>9</v>
      </c>
      <c r="M426" s="1">
        <v>72.694999999999993</v>
      </c>
      <c r="N426" s="1">
        <v>51</v>
      </c>
      <c r="O426" s="1">
        <v>792</v>
      </c>
      <c r="P426" s="1">
        <v>54.1599</v>
      </c>
      <c r="Q426" s="1">
        <v>56.731000000000002</v>
      </c>
      <c r="R426" s="5">
        <v>2.8472222222222223E-3</v>
      </c>
      <c r="S426" s="1">
        <v>10960</v>
      </c>
      <c r="T426" s="6">
        <v>5.61</v>
      </c>
      <c r="U426" s="1" t="str">
        <f>IF(ISNUMBER(SEARCH("Vande Bharat",Table1[[#This Row],[Video title]])),"Vande Bharat","Other")</f>
        <v>Other</v>
      </c>
    </row>
    <row r="427" spans="1:21" x14ac:dyDescent="0.3">
      <c r="A427" s="4" t="s">
        <v>692</v>
      </c>
      <c r="B427" s="1" t="s">
        <v>693</v>
      </c>
      <c r="C427" s="7">
        <v>44966</v>
      </c>
      <c r="D427" s="1">
        <v>234</v>
      </c>
      <c r="E427" s="1">
        <v>22.57</v>
      </c>
      <c r="F427" s="1">
        <v>1</v>
      </c>
      <c r="G427" s="1">
        <v>0</v>
      </c>
      <c r="H427" s="1">
        <v>21</v>
      </c>
      <c r="I427" s="1">
        <v>0</v>
      </c>
      <c r="J427" s="1">
        <v>100</v>
      </c>
      <c r="K427" s="1">
        <v>2</v>
      </c>
      <c r="L427" s="1">
        <v>5</v>
      </c>
      <c r="M427" s="1">
        <v>13.272</v>
      </c>
      <c r="N427" s="1">
        <v>25</v>
      </c>
      <c r="O427" s="1">
        <v>957</v>
      </c>
      <c r="P427" s="1">
        <v>14.042299999999999</v>
      </c>
      <c r="Q427" s="1">
        <v>12.701000000000001</v>
      </c>
      <c r="R427" s="5">
        <v>6.018518518518519E-4</v>
      </c>
      <c r="S427" s="1">
        <v>8317</v>
      </c>
      <c r="T427" s="6">
        <v>9.49</v>
      </c>
      <c r="U427" s="1" t="str">
        <f>IF(ISNUMBER(SEARCH("Vande Bharat",Table1[[#This Row],[Video title]])),"Vande Bharat","Other")</f>
        <v>Vande Bharat</v>
      </c>
    </row>
    <row r="428" spans="1:21" x14ac:dyDescent="0.3">
      <c r="A428" s="4" t="s">
        <v>874</v>
      </c>
      <c r="B428" s="1" t="s">
        <v>875</v>
      </c>
      <c r="C428" s="7">
        <v>44593</v>
      </c>
      <c r="D428" s="1">
        <v>158</v>
      </c>
      <c r="E428" s="1">
        <v>34.200000000000003</v>
      </c>
      <c r="F428" s="1">
        <v>1</v>
      </c>
      <c r="G428" s="1">
        <v>0</v>
      </c>
      <c r="H428" s="1">
        <v>32</v>
      </c>
      <c r="I428" s="1">
        <v>0</v>
      </c>
      <c r="J428" s="1">
        <v>100</v>
      </c>
      <c r="K428" s="1">
        <v>3</v>
      </c>
      <c r="L428" s="1">
        <v>4</v>
      </c>
      <c r="M428" s="1">
        <v>15.997</v>
      </c>
      <c r="N428" s="1">
        <v>18</v>
      </c>
      <c r="O428" s="1">
        <v>723</v>
      </c>
      <c r="P428" s="1">
        <v>10.8513</v>
      </c>
      <c r="Q428" s="1">
        <v>11.566000000000001</v>
      </c>
      <c r="R428" s="5">
        <v>6.2500000000000001E-4</v>
      </c>
      <c r="S428" s="1">
        <v>5783</v>
      </c>
      <c r="T428" s="6">
        <v>7.73</v>
      </c>
      <c r="U428" s="1" t="str">
        <f>IF(ISNUMBER(SEARCH("Vande Bharat",Table1[[#This Row],[Video title]])),"Vande Bharat","Other")</f>
        <v>Other</v>
      </c>
    </row>
    <row r="429" spans="1:21" x14ac:dyDescent="0.3">
      <c r="A429" s="4" t="s">
        <v>876</v>
      </c>
      <c r="B429" s="1" t="s">
        <v>877</v>
      </c>
      <c r="C429" s="7">
        <v>44355</v>
      </c>
      <c r="D429" s="1">
        <v>166</v>
      </c>
      <c r="E429" s="1">
        <v>48.77</v>
      </c>
      <c r="F429" s="1">
        <v>3</v>
      </c>
      <c r="G429" s="1">
        <v>0</v>
      </c>
      <c r="H429" s="1">
        <v>54</v>
      </c>
      <c r="I429" s="1">
        <v>2</v>
      </c>
      <c r="J429" s="1">
        <v>96.43</v>
      </c>
      <c r="K429" s="1">
        <v>0</v>
      </c>
      <c r="L429" s="1">
        <v>16</v>
      </c>
      <c r="M429" s="1">
        <v>30.018999999999998</v>
      </c>
      <c r="N429" s="1">
        <v>15</v>
      </c>
      <c r="O429" s="1">
        <v>746</v>
      </c>
      <c r="P429" s="1">
        <v>16.777000000000001</v>
      </c>
      <c r="Q429" s="1">
        <v>22.393000000000001</v>
      </c>
      <c r="R429" s="5">
        <v>9.2592592592592596E-4</v>
      </c>
      <c r="S429" s="1">
        <v>8759</v>
      </c>
      <c r="T429" s="6">
        <v>6.13</v>
      </c>
      <c r="U429" s="1" t="str">
        <f>IF(ISNUMBER(SEARCH("Vande Bharat",Table1[[#This Row],[Video title]])),"Vande Bharat","Other")</f>
        <v>Other</v>
      </c>
    </row>
    <row r="430" spans="1:21" x14ac:dyDescent="0.3">
      <c r="A430" s="4" t="s">
        <v>878</v>
      </c>
      <c r="B430" s="1" t="s">
        <v>879</v>
      </c>
      <c r="C430" s="7">
        <v>45468</v>
      </c>
      <c r="D430" s="1">
        <v>25</v>
      </c>
      <c r="E430" s="1">
        <v>58.78</v>
      </c>
      <c r="F430" s="1">
        <v>1</v>
      </c>
      <c r="G430" s="1">
        <v>0</v>
      </c>
      <c r="H430" s="1">
        <v>29</v>
      </c>
      <c r="I430" s="1">
        <v>3</v>
      </c>
      <c r="J430" s="1">
        <v>90.63</v>
      </c>
      <c r="K430" s="1">
        <v>1</v>
      </c>
      <c r="L430" s="1">
        <v>2</v>
      </c>
      <c r="M430" s="1">
        <v>0.191</v>
      </c>
      <c r="N430" s="1">
        <v>14</v>
      </c>
      <c r="O430" s="1">
        <v>734</v>
      </c>
      <c r="P430" s="1">
        <v>2.7967</v>
      </c>
      <c r="Q430" s="1">
        <v>0.13</v>
      </c>
      <c r="R430" s="5">
        <v>1.6203703703703703E-4</v>
      </c>
      <c r="S430" s="1">
        <v>1941</v>
      </c>
      <c r="T430" s="6">
        <v>5.26</v>
      </c>
      <c r="U430" s="1" t="str">
        <f>IF(ISNUMBER(SEARCH("Vande Bharat",Table1[[#This Row],[Video title]])),"Vande Bharat","Other")</f>
        <v>Other</v>
      </c>
    </row>
    <row r="431" spans="1:21" x14ac:dyDescent="0.3">
      <c r="A431" s="4" t="s">
        <v>880</v>
      </c>
      <c r="B431" s="1" t="s">
        <v>881</v>
      </c>
      <c r="C431" s="7">
        <v>45498</v>
      </c>
      <c r="D431" s="1">
        <v>20</v>
      </c>
      <c r="E431" s="1">
        <v>68.33</v>
      </c>
      <c r="F431" s="1">
        <v>1</v>
      </c>
      <c r="G431" s="1">
        <v>0</v>
      </c>
      <c r="H431" s="1">
        <v>13</v>
      </c>
      <c r="I431" s="1">
        <v>0</v>
      </c>
      <c r="J431" s="1">
        <v>100</v>
      </c>
      <c r="K431" s="1">
        <v>2</v>
      </c>
      <c r="L431" s="1">
        <v>0</v>
      </c>
      <c r="M431" s="1">
        <v>1.0249999999999999</v>
      </c>
      <c r="N431" s="1">
        <v>20</v>
      </c>
      <c r="O431" s="1">
        <v>734</v>
      </c>
      <c r="P431" s="1">
        <v>2.4510000000000001</v>
      </c>
      <c r="Q431" s="1">
        <v>0.65400000000000003</v>
      </c>
      <c r="R431" s="5">
        <v>1.5046296296296297E-4</v>
      </c>
      <c r="S431" s="1">
        <v>2455</v>
      </c>
      <c r="T431" s="6">
        <v>3.5</v>
      </c>
      <c r="U431" s="1" t="str">
        <f>IF(ISNUMBER(SEARCH("Vande Bharat",Table1[[#This Row],[Video title]])),"Vande Bharat","Other")</f>
        <v>Other</v>
      </c>
    </row>
    <row r="432" spans="1:21" x14ac:dyDescent="0.3">
      <c r="A432" s="4" t="s">
        <v>882</v>
      </c>
      <c r="B432" s="1" t="s">
        <v>883</v>
      </c>
      <c r="C432" s="7">
        <v>44341</v>
      </c>
      <c r="D432" s="1">
        <v>152</v>
      </c>
      <c r="E432" s="1">
        <v>42.17</v>
      </c>
      <c r="F432" s="1">
        <v>0</v>
      </c>
      <c r="G432" s="1">
        <v>0</v>
      </c>
      <c r="H432" s="1">
        <v>30</v>
      </c>
      <c r="I432" s="1">
        <v>2</v>
      </c>
      <c r="J432" s="1">
        <v>93.75</v>
      </c>
      <c r="K432" s="1">
        <v>0</v>
      </c>
      <c r="L432" s="1">
        <v>5</v>
      </c>
      <c r="M432" s="1">
        <v>19.126000000000001</v>
      </c>
      <c r="N432" s="1">
        <v>10</v>
      </c>
      <c r="O432" s="1">
        <v>692</v>
      </c>
      <c r="P432" s="1">
        <v>12.319800000000001</v>
      </c>
      <c r="Q432" s="1">
        <v>13.234999999999999</v>
      </c>
      <c r="R432" s="5">
        <v>7.407407407407407E-4</v>
      </c>
      <c r="S432" s="1">
        <v>6311</v>
      </c>
      <c r="T432" s="6">
        <v>7.89</v>
      </c>
      <c r="U432" s="1" t="str">
        <f>IF(ISNUMBER(SEARCH("Vande Bharat",Table1[[#This Row],[Video title]])),"Vande Bharat","Other")</f>
        <v>Other</v>
      </c>
    </row>
    <row r="433" spans="1:21" x14ac:dyDescent="0.3">
      <c r="A433" s="4" t="s">
        <v>884</v>
      </c>
      <c r="B433" s="1" t="s">
        <v>885</v>
      </c>
      <c r="C433" s="7">
        <v>44282</v>
      </c>
      <c r="D433" s="1">
        <v>221</v>
      </c>
      <c r="E433" s="1">
        <v>35.299999999999997</v>
      </c>
      <c r="F433" s="1">
        <v>1</v>
      </c>
      <c r="G433" s="1">
        <v>0</v>
      </c>
      <c r="H433" s="1">
        <v>41</v>
      </c>
      <c r="I433" s="1">
        <v>1</v>
      </c>
      <c r="J433" s="1">
        <v>97.62</v>
      </c>
      <c r="K433" s="1">
        <v>1</v>
      </c>
      <c r="L433" s="1">
        <v>13</v>
      </c>
      <c r="M433" s="1">
        <v>0.51900000000000002</v>
      </c>
      <c r="N433" s="1">
        <v>14</v>
      </c>
      <c r="O433" s="1">
        <v>717</v>
      </c>
      <c r="P433" s="1">
        <v>15.537699999999999</v>
      </c>
      <c r="Q433" s="1">
        <v>0.372</v>
      </c>
      <c r="R433" s="5">
        <v>9.0277777777777774E-4</v>
      </c>
      <c r="S433" s="1">
        <v>8614</v>
      </c>
      <c r="T433" s="6">
        <v>5.84</v>
      </c>
      <c r="U433" s="1" t="str">
        <f>IF(ISNUMBER(SEARCH("Vande Bharat",Table1[[#This Row],[Video title]])),"Vande Bharat","Other")</f>
        <v>Other</v>
      </c>
    </row>
    <row r="434" spans="1:21" x14ac:dyDescent="0.3">
      <c r="A434" s="4" t="s">
        <v>886</v>
      </c>
      <c r="B434" s="1" t="s">
        <v>887</v>
      </c>
      <c r="C434" s="7">
        <v>44591</v>
      </c>
      <c r="D434" s="1">
        <v>270</v>
      </c>
      <c r="E434" s="1">
        <v>26.91</v>
      </c>
      <c r="F434" s="1">
        <v>1</v>
      </c>
      <c r="G434" s="1">
        <v>2</v>
      </c>
      <c r="H434" s="1">
        <v>31</v>
      </c>
      <c r="I434" s="1">
        <v>0</v>
      </c>
      <c r="J434" s="1">
        <v>100</v>
      </c>
      <c r="K434" s="1">
        <v>0</v>
      </c>
      <c r="L434" s="1">
        <v>9</v>
      </c>
      <c r="M434" s="1">
        <v>26.088999999999999</v>
      </c>
      <c r="N434" s="1">
        <v>14</v>
      </c>
      <c r="O434" s="1">
        <v>698</v>
      </c>
      <c r="P434" s="1">
        <v>14.085699999999999</v>
      </c>
      <c r="Q434" s="1">
        <v>18.21</v>
      </c>
      <c r="R434" s="5">
        <v>8.3333333333333339E-4</v>
      </c>
      <c r="S434" s="1">
        <v>5516</v>
      </c>
      <c r="T434" s="6">
        <v>6.85</v>
      </c>
      <c r="U434" s="1" t="str">
        <f>IF(ISNUMBER(SEARCH("Vande Bharat",Table1[[#This Row],[Video title]])),"Vande Bharat","Other")</f>
        <v>Other</v>
      </c>
    </row>
    <row r="435" spans="1:21" x14ac:dyDescent="0.3">
      <c r="A435" s="4" t="s">
        <v>888</v>
      </c>
      <c r="B435" s="1" t="s">
        <v>889</v>
      </c>
      <c r="C435" s="7">
        <v>45503</v>
      </c>
      <c r="D435" s="1">
        <v>8</v>
      </c>
      <c r="E435" s="1">
        <v>135.88999999999999</v>
      </c>
      <c r="F435" s="1">
        <v>1</v>
      </c>
      <c r="G435" s="1">
        <v>0</v>
      </c>
      <c r="H435" s="1">
        <v>14</v>
      </c>
      <c r="I435" s="1">
        <v>1</v>
      </c>
      <c r="J435" s="1">
        <v>93.33</v>
      </c>
      <c r="K435" s="1">
        <v>1</v>
      </c>
      <c r="L435" s="1">
        <v>0</v>
      </c>
      <c r="M435" s="1">
        <v>0.58599999999999997</v>
      </c>
      <c r="N435" s="1">
        <v>7</v>
      </c>
      <c r="O435" s="1">
        <v>636</v>
      </c>
      <c r="P435" s="1">
        <v>1.8585</v>
      </c>
      <c r="Q435" s="1">
        <v>0.35899999999999999</v>
      </c>
      <c r="R435" s="5">
        <v>1.1574074074074075E-4</v>
      </c>
      <c r="S435" s="1">
        <v>918</v>
      </c>
      <c r="T435" s="6">
        <v>2.5099999999999998</v>
      </c>
      <c r="U435" s="1" t="str">
        <f>IF(ISNUMBER(SEARCH("Vande Bharat",Table1[[#This Row],[Video title]])),"Vande Bharat","Other")</f>
        <v>Other</v>
      </c>
    </row>
    <row r="436" spans="1:21" x14ac:dyDescent="0.3">
      <c r="A436" s="4" t="s">
        <v>890</v>
      </c>
      <c r="B436" s="1" t="s">
        <v>891</v>
      </c>
      <c r="C436" s="7">
        <v>44935</v>
      </c>
      <c r="D436" s="1">
        <v>82</v>
      </c>
      <c r="E436" s="1">
        <v>42.76</v>
      </c>
      <c r="F436" s="1">
        <v>1</v>
      </c>
      <c r="G436" s="1">
        <v>0</v>
      </c>
      <c r="H436" s="1">
        <v>25</v>
      </c>
      <c r="I436" s="1">
        <v>2</v>
      </c>
      <c r="J436" s="1">
        <v>92.59</v>
      </c>
      <c r="K436" s="1">
        <v>2</v>
      </c>
      <c r="L436" s="1">
        <v>6</v>
      </c>
      <c r="M436" s="1">
        <v>15.026999999999999</v>
      </c>
      <c r="N436" s="1">
        <v>15</v>
      </c>
      <c r="O436" s="1">
        <v>666</v>
      </c>
      <c r="P436" s="1">
        <v>6.4870999999999999</v>
      </c>
      <c r="Q436" s="1">
        <v>10.007999999999999</v>
      </c>
      <c r="R436" s="5">
        <v>4.0509259259259258E-4</v>
      </c>
      <c r="S436" s="1">
        <v>5157</v>
      </c>
      <c r="T436" s="6">
        <v>11.21</v>
      </c>
      <c r="U436" s="1" t="str">
        <f>IF(ISNUMBER(SEARCH("Vande Bharat",Table1[[#This Row],[Video title]])),"Vande Bharat","Other")</f>
        <v>Other</v>
      </c>
    </row>
    <row r="437" spans="1:21" x14ac:dyDescent="0.3">
      <c r="A437" s="4" t="s">
        <v>892</v>
      </c>
      <c r="B437" s="1" t="s">
        <v>893</v>
      </c>
      <c r="C437" s="7">
        <v>44175</v>
      </c>
      <c r="D437" s="1">
        <v>86</v>
      </c>
      <c r="E437" s="1">
        <v>49.62</v>
      </c>
      <c r="F437" s="1">
        <v>1</v>
      </c>
      <c r="G437" s="1">
        <v>0</v>
      </c>
      <c r="H437" s="1">
        <v>23</v>
      </c>
      <c r="I437" s="1">
        <v>1</v>
      </c>
      <c r="J437" s="1">
        <v>95.83</v>
      </c>
      <c r="K437" s="1">
        <v>0</v>
      </c>
      <c r="L437" s="1">
        <v>7</v>
      </c>
      <c r="M437" s="1">
        <v>0.13600000000000001</v>
      </c>
      <c r="N437" s="1">
        <v>4</v>
      </c>
      <c r="O437" s="1">
        <v>698</v>
      </c>
      <c r="P437" s="1">
        <v>8.2746999999999993</v>
      </c>
      <c r="Q437" s="1">
        <v>9.5000000000000001E-2</v>
      </c>
      <c r="R437" s="5">
        <v>4.861111111111111E-4</v>
      </c>
      <c r="S437" s="1">
        <v>6601</v>
      </c>
      <c r="T437" s="6">
        <v>8.26</v>
      </c>
      <c r="U437" s="1" t="str">
        <f>IF(ISNUMBER(SEARCH("Vande Bharat",Table1[[#This Row],[Video title]])),"Vande Bharat","Other")</f>
        <v>Other</v>
      </c>
    </row>
    <row r="438" spans="1:21" x14ac:dyDescent="0.3">
      <c r="A438" s="4" t="s">
        <v>894</v>
      </c>
      <c r="B438" s="1" t="s">
        <v>895</v>
      </c>
      <c r="C438" s="7">
        <v>45921</v>
      </c>
      <c r="D438" s="1">
        <v>261</v>
      </c>
      <c r="E438" s="1">
        <v>25.84</v>
      </c>
      <c r="F438" s="1">
        <v>1</v>
      </c>
      <c r="G438" s="1">
        <v>1</v>
      </c>
      <c r="H438" s="1">
        <v>25</v>
      </c>
      <c r="I438" s="1">
        <v>0</v>
      </c>
      <c r="J438" s="1">
        <v>100</v>
      </c>
      <c r="K438" s="1">
        <v>4</v>
      </c>
      <c r="L438" s="1">
        <v>4</v>
      </c>
      <c r="M438" s="1">
        <v>23.986000000000001</v>
      </c>
      <c r="N438" s="1">
        <v>48</v>
      </c>
      <c r="O438" s="1">
        <v>652</v>
      </c>
      <c r="P438" s="1">
        <v>12.2142</v>
      </c>
      <c r="Q438" s="1">
        <v>15.791</v>
      </c>
      <c r="R438" s="5">
        <v>7.7546296296296293E-4</v>
      </c>
      <c r="S438" s="1">
        <v>6888</v>
      </c>
      <c r="T438" s="6">
        <v>7.51</v>
      </c>
      <c r="U438" s="1" t="str">
        <f>IF(ISNUMBER(SEARCH("Vande Bharat",Table1[[#This Row],[Video title]])),"Vande Bharat","Other")</f>
        <v>Other</v>
      </c>
    </row>
    <row r="439" spans="1:21" x14ac:dyDescent="0.3">
      <c r="A439" s="4" t="s">
        <v>896</v>
      </c>
      <c r="B439" s="1" t="s">
        <v>897</v>
      </c>
      <c r="C439" s="7">
        <v>44136</v>
      </c>
      <c r="D439" s="1">
        <v>113</v>
      </c>
      <c r="E439" s="1">
        <v>43.6</v>
      </c>
      <c r="F439" s="1">
        <v>8</v>
      </c>
      <c r="G439" s="1">
        <v>0</v>
      </c>
      <c r="H439" s="1">
        <v>21</v>
      </c>
      <c r="I439" s="1">
        <v>3</v>
      </c>
      <c r="J439" s="1">
        <v>87.5</v>
      </c>
      <c r="K439" s="1">
        <v>7</v>
      </c>
      <c r="L439" s="1">
        <v>8</v>
      </c>
      <c r="M439" s="1">
        <v>9.2999999999999999E-2</v>
      </c>
      <c r="N439" s="1">
        <v>9</v>
      </c>
      <c r="O439" s="1">
        <v>783</v>
      </c>
      <c r="P439" s="1">
        <v>10.7157</v>
      </c>
      <c r="Q439" s="1">
        <v>7.2999999999999995E-2</v>
      </c>
      <c r="R439" s="5">
        <v>5.6712962962962967E-4</v>
      </c>
      <c r="S439" s="1">
        <v>10070</v>
      </c>
      <c r="T439" s="6">
        <v>5.64</v>
      </c>
      <c r="U439" s="1" t="str">
        <f>IF(ISNUMBER(SEARCH("Vande Bharat",Table1[[#This Row],[Video title]])),"Vande Bharat","Other")</f>
        <v>Other</v>
      </c>
    </row>
    <row r="440" spans="1:21" x14ac:dyDescent="0.3">
      <c r="A440" s="4" t="s">
        <v>898</v>
      </c>
      <c r="B440" s="1" t="s">
        <v>899</v>
      </c>
      <c r="C440" s="7">
        <v>46075</v>
      </c>
      <c r="D440" s="1">
        <v>11</v>
      </c>
      <c r="E440" s="1">
        <v>101.3</v>
      </c>
      <c r="F440" s="1">
        <v>0</v>
      </c>
      <c r="G440" s="1">
        <v>0</v>
      </c>
      <c r="H440" s="1">
        <v>17</v>
      </c>
      <c r="I440" s="1">
        <v>2</v>
      </c>
      <c r="J440" s="1">
        <v>89.47</v>
      </c>
      <c r="K440" s="1">
        <v>1</v>
      </c>
      <c r="L440" s="1">
        <v>0</v>
      </c>
      <c r="M440" s="1">
        <v>1.0209999999999999</v>
      </c>
      <c r="N440" s="1">
        <v>61</v>
      </c>
      <c r="O440" s="1">
        <v>1800</v>
      </c>
      <c r="P440" s="1">
        <v>2.3214000000000001</v>
      </c>
      <c r="Q440" s="1">
        <v>0.64900000000000002</v>
      </c>
      <c r="R440" s="5">
        <v>1.273148148148148E-4</v>
      </c>
      <c r="S440" s="1">
        <v>1828</v>
      </c>
      <c r="T440" s="6">
        <v>6.35</v>
      </c>
      <c r="U440" s="1" t="str">
        <f>IF(ISNUMBER(SEARCH("Vande Bharat",Table1[[#This Row],[Video title]])),"Vande Bharat","Other")</f>
        <v>Other</v>
      </c>
    </row>
    <row r="441" spans="1:21" x14ac:dyDescent="0.3">
      <c r="A441" s="4" t="s">
        <v>900</v>
      </c>
      <c r="B441" s="1" t="s">
        <v>901</v>
      </c>
      <c r="C441" s="7">
        <v>44437</v>
      </c>
      <c r="D441" s="1">
        <v>81</v>
      </c>
      <c r="E441" s="1">
        <v>52.92</v>
      </c>
      <c r="F441" s="1">
        <v>0</v>
      </c>
      <c r="G441" s="1">
        <v>0</v>
      </c>
      <c r="H441" s="1">
        <v>35</v>
      </c>
      <c r="I441" s="1">
        <v>2</v>
      </c>
      <c r="J441" s="1">
        <v>94.59</v>
      </c>
      <c r="K441" s="1">
        <v>0</v>
      </c>
      <c r="L441" s="1">
        <v>6</v>
      </c>
      <c r="M441" s="1">
        <v>16.774999999999999</v>
      </c>
      <c r="N441" s="1">
        <v>9</v>
      </c>
      <c r="O441" s="1">
        <v>661</v>
      </c>
      <c r="P441" s="1">
        <v>7.8711000000000002</v>
      </c>
      <c r="Q441" s="1">
        <v>11.089</v>
      </c>
      <c r="R441" s="5">
        <v>4.861111111111111E-4</v>
      </c>
      <c r="S441" s="1">
        <v>5831</v>
      </c>
      <c r="T441" s="6">
        <v>7.61</v>
      </c>
      <c r="U441" s="1" t="str">
        <f>IF(ISNUMBER(SEARCH("Vande Bharat",Table1[[#This Row],[Video title]])),"Vande Bharat","Other")</f>
        <v>Other</v>
      </c>
    </row>
    <row r="442" spans="1:21" x14ac:dyDescent="0.3">
      <c r="A442" s="4" t="s">
        <v>902</v>
      </c>
      <c r="B442" s="1" t="s">
        <v>903</v>
      </c>
      <c r="C442" s="7">
        <v>44590</v>
      </c>
      <c r="D442" s="1">
        <v>261</v>
      </c>
      <c r="E442" s="1">
        <v>27.66</v>
      </c>
      <c r="F442" s="1">
        <v>1</v>
      </c>
      <c r="G442" s="1">
        <v>0</v>
      </c>
      <c r="H442" s="1">
        <v>39</v>
      </c>
      <c r="I442" s="1">
        <v>0</v>
      </c>
      <c r="J442" s="1">
        <v>100</v>
      </c>
      <c r="K442" s="1">
        <v>5</v>
      </c>
      <c r="L442" s="1">
        <v>5</v>
      </c>
      <c r="M442" s="1">
        <v>28.771000000000001</v>
      </c>
      <c r="N442" s="1">
        <v>18</v>
      </c>
      <c r="O442" s="1">
        <v>698</v>
      </c>
      <c r="P442" s="1">
        <v>13.999599999999999</v>
      </c>
      <c r="Q442" s="1">
        <v>20.082000000000001</v>
      </c>
      <c r="R442" s="5">
        <v>8.3333333333333339E-4</v>
      </c>
      <c r="S442" s="1">
        <v>6868</v>
      </c>
      <c r="T442" s="6">
        <v>6.55</v>
      </c>
      <c r="U442" s="1" t="str">
        <f>IF(ISNUMBER(SEARCH("Vande Bharat",Table1[[#This Row],[Video title]])),"Vande Bharat","Other")</f>
        <v>Other</v>
      </c>
    </row>
    <row r="443" spans="1:21" x14ac:dyDescent="0.3">
      <c r="A443" s="4" t="s">
        <v>904</v>
      </c>
      <c r="B443" s="1" t="s">
        <v>905</v>
      </c>
      <c r="C443" s="7">
        <v>44422</v>
      </c>
      <c r="D443" s="1">
        <v>76</v>
      </c>
      <c r="E443" s="1">
        <v>52.58</v>
      </c>
      <c r="F443" s="1">
        <v>1</v>
      </c>
      <c r="G443" s="1">
        <v>0</v>
      </c>
      <c r="H443" s="1">
        <v>39</v>
      </c>
      <c r="I443" s="1">
        <v>0</v>
      </c>
      <c r="J443" s="1">
        <v>100</v>
      </c>
      <c r="K443" s="1">
        <v>0</v>
      </c>
      <c r="L443" s="1">
        <v>6</v>
      </c>
      <c r="M443" s="1">
        <v>44.201000000000001</v>
      </c>
      <c r="N443" s="1">
        <v>7</v>
      </c>
      <c r="O443" s="1">
        <v>658</v>
      </c>
      <c r="P443" s="1">
        <v>7.3038999999999996</v>
      </c>
      <c r="Q443" s="1">
        <v>29.084</v>
      </c>
      <c r="R443" s="5">
        <v>4.5138888888888887E-4</v>
      </c>
      <c r="S443" s="1">
        <v>5270</v>
      </c>
      <c r="T443" s="6">
        <v>8.33</v>
      </c>
      <c r="U443" s="1" t="str">
        <f>IF(ISNUMBER(SEARCH("Vande Bharat",Table1[[#This Row],[Video title]])),"Vande Bharat","Other")</f>
        <v>Other</v>
      </c>
    </row>
    <row r="444" spans="1:21" x14ac:dyDescent="0.3">
      <c r="A444" s="4" t="s">
        <v>906</v>
      </c>
      <c r="B444" s="1" t="s">
        <v>907</v>
      </c>
      <c r="C444" s="7">
        <v>44210</v>
      </c>
      <c r="D444" s="1">
        <v>198</v>
      </c>
      <c r="E444" s="1">
        <v>47.36</v>
      </c>
      <c r="F444" s="1">
        <v>5</v>
      </c>
      <c r="G444" s="1">
        <v>0</v>
      </c>
      <c r="H444" s="1">
        <v>34</v>
      </c>
      <c r="I444" s="1">
        <v>0</v>
      </c>
      <c r="J444" s="1">
        <v>100</v>
      </c>
      <c r="K444" s="1">
        <v>7</v>
      </c>
      <c r="L444" s="1">
        <v>26</v>
      </c>
      <c r="M444" s="1">
        <v>0.35499999999999998</v>
      </c>
      <c r="N444" s="1">
        <v>13</v>
      </c>
      <c r="O444" s="1">
        <v>791</v>
      </c>
      <c r="P444" s="1">
        <v>20.602</v>
      </c>
      <c r="Q444" s="1">
        <v>0.28100000000000003</v>
      </c>
      <c r="R444" s="5">
        <v>1.0763888888888889E-3</v>
      </c>
      <c r="S444" s="1">
        <v>9032</v>
      </c>
      <c r="T444" s="6">
        <v>6.33</v>
      </c>
      <c r="U444" s="1" t="str">
        <f>IF(ISNUMBER(SEARCH("Vande Bharat",Table1[[#This Row],[Video title]])),"Vande Bharat","Other")</f>
        <v>Other</v>
      </c>
    </row>
    <row r="445" spans="1:21" x14ac:dyDescent="0.3">
      <c r="A445" s="4" t="s">
        <v>908</v>
      </c>
      <c r="B445" s="1" t="s">
        <v>909</v>
      </c>
      <c r="C445" s="7">
        <v>44614</v>
      </c>
      <c r="D445" s="1">
        <v>192</v>
      </c>
      <c r="E445" s="1">
        <v>30.29</v>
      </c>
      <c r="F445" s="1">
        <v>0</v>
      </c>
      <c r="G445" s="1">
        <v>0</v>
      </c>
      <c r="H445" s="1">
        <v>37</v>
      </c>
      <c r="I445" s="1">
        <v>1</v>
      </c>
      <c r="J445" s="1">
        <v>97.37</v>
      </c>
      <c r="K445" s="1">
        <v>0</v>
      </c>
      <c r="L445" s="1">
        <v>9</v>
      </c>
      <c r="M445" s="1">
        <v>12.212999999999999</v>
      </c>
      <c r="N445" s="1">
        <v>8</v>
      </c>
      <c r="O445" s="1">
        <v>710</v>
      </c>
      <c r="P445" s="1">
        <v>11.469900000000001</v>
      </c>
      <c r="Q445" s="1">
        <v>8.6709999999999994</v>
      </c>
      <c r="R445" s="5">
        <v>6.7129629629629625E-4</v>
      </c>
      <c r="S445" s="1">
        <v>5843</v>
      </c>
      <c r="T445" s="6">
        <v>6.74</v>
      </c>
      <c r="U445" s="1" t="str">
        <f>IF(ISNUMBER(SEARCH("Vande Bharat",Table1[[#This Row],[Video title]])),"Vande Bharat","Other")</f>
        <v>Other</v>
      </c>
    </row>
    <row r="446" spans="1:21" x14ac:dyDescent="0.3">
      <c r="A446" s="4" t="s">
        <v>172</v>
      </c>
      <c r="B446" s="1" t="s">
        <v>173</v>
      </c>
      <c r="C446" s="7">
        <v>44963</v>
      </c>
      <c r="D446" s="1">
        <v>259</v>
      </c>
      <c r="E446" s="1">
        <v>23.43</v>
      </c>
      <c r="F446" s="1">
        <v>7</v>
      </c>
      <c r="G446" s="1">
        <v>2</v>
      </c>
      <c r="H446" s="1">
        <v>50</v>
      </c>
      <c r="I446" s="1">
        <v>1</v>
      </c>
      <c r="J446" s="1">
        <v>98.04</v>
      </c>
      <c r="K446" s="1">
        <v>7</v>
      </c>
      <c r="L446" s="1">
        <v>9</v>
      </c>
      <c r="M446" s="1">
        <v>12.689</v>
      </c>
      <c r="N446" s="1">
        <v>80</v>
      </c>
      <c r="O446" s="1">
        <v>3904</v>
      </c>
      <c r="P446" s="1">
        <v>65.802099999999996</v>
      </c>
      <c r="Q446" s="1">
        <v>49.527000000000001</v>
      </c>
      <c r="R446" s="5">
        <v>6.9444444444444447E-4</v>
      </c>
      <c r="S446" s="1">
        <v>21883</v>
      </c>
      <c r="T446" s="6">
        <v>16.14</v>
      </c>
      <c r="U446" s="1" t="str">
        <f>IF(ISNUMBER(SEARCH("Vande Bharat",Table1[[#This Row],[Video title]])),"Vande Bharat","Other")</f>
        <v>Vande Bharat</v>
      </c>
    </row>
    <row r="447" spans="1:21" x14ac:dyDescent="0.3">
      <c r="A447" s="4" t="s">
        <v>912</v>
      </c>
      <c r="B447" s="1" t="s">
        <v>913</v>
      </c>
      <c r="C447" s="7">
        <v>46121</v>
      </c>
      <c r="D447" s="1">
        <v>484</v>
      </c>
      <c r="E447" s="1">
        <v>20.76</v>
      </c>
      <c r="F447" s="1">
        <v>1</v>
      </c>
      <c r="G447" s="1">
        <v>1</v>
      </c>
      <c r="H447" s="1">
        <v>24</v>
      </c>
      <c r="I447" s="1">
        <v>0</v>
      </c>
      <c r="J447" s="1">
        <v>100</v>
      </c>
      <c r="K447" s="1">
        <v>10</v>
      </c>
      <c r="L447" s="1">
        <v>3</v>
      </c>
      <c r="M447" s="1">
        <v>17.231999999999999</v>
      </c>
      <c r="N447" s="1">
        <v>30</v>
      </c>
      <c r="O447" s="1">
        <v>753</v>
      </c>
      <c r="P447" s="1">
        <v>21.015999999999998</v>
      </c>
      <c r="Q447" s="1">
        <v>12.984</v>
      </c>
      <c r="R447" s="5">
        <v>1.1574074074074073E-3</v>
      </c>
      <c r="S447" s="1">
        <v>11781</v>
      </c>
      <c r="T447" s="6">
        <v>5.27</v>
      </c>
      <c r="U447" s="1" t="str">
        <f>IF(ISNUMBER(SEARCH("Vande Bharat",Table1[[#This Row],[Video title]])),"Vande Bharat","Other")</f>
        <v>Other</v>
      </c>
    </row>
    <row r="448" spans="1:21" x14ac:dyDescent="0.3">
      <c r="A448" s="4" t="s">
        <v>914</v>
      </c>
      <c r="B448" s="1" t="s">
        <v>915</v>
      </c>
      <c r="C448" s="7">
        <v>45491</v>
      </c>
      <c r="D448" s="1">
        <v>37</v>
      </c>
      <c r="E448" s="1">
        <v>50.77</v>
      </c>
      <c r="F448" s="1">
        <v>0</v>
      </c>
      <c r="G448" s="1">
        <v>0</v>
      </c>
      <c r="H448" s="1">
        <v>24</v>
      </c>
      <c r="I448" s="1">
        <v>0</v>
      </c>
      <c r="J448" s="1">
        <v>100</v>
      </c>
      <c r="K448" s="1">
        <v>0</v>
      </c>
      <c r="L448" s="1">
        <v>0</v>
      </c>
      <c r="M448" s="1">
        <v>0.69899999999999995</v>
      </c>
      <c r="N448" s="1">
        <v>6</v>
      </c>
      <c r="O448" s="1">
        <v>644</v>
      </c>
      <c r="P448" s="1">
        <v>3.1669999999999998</v>
      </c>
      <c r="Q448" s="1">
        <v>0.42299999999999999</v>
      </c>
      <c r="R448" s="5">
        <v>2.0833333333333335E-4</v>
      </c>
      <c r="S448" s="1">
        <v>2076</v>
      </c>
      <c r="T448" s="6">
        <v>3.9</v>
      </c>
      <c r="U448" s="1" t="str">
        <f>IF(ISNUMBER(SEARCH("Vande Bharat",Table1[[#This Row],[Video title]])),"Vande Bharat","Other")</f>
        <v>Other</v>
      </c>
    </row>
    <row r="449" spans="1:21" x14ac:dyDescent="0.3">
      <c r="A449" s="4" t="s">
        <v>916</v>
      </c>
      <c r="B449" s="1" t="s">
        <v>917</v>
      </c>
      <c r="C449" s="7">
        <v>44503</v>
      </c>
      <c r="D449" s="1">
        <v>231</v>
      </c>
      <c r="E449" s="1">
        <v>31.28</v>
      </c>
      <c r="F449" s="1">
        <v>2</v>
      </c>
      <c r="G449" s="1">
        <v>1</v>
      </c>
      <c r="H449" s="1">
        <v>35</v>
      </c>
      <c r="I449" s="1">
        <v>1</v>
      </c>
      <c r="J449" s="1">
        <v>97.22</v>
      </c>
      <c r="K449" s="1">
        <v>2</v>
      </c>
      <c r="L449" s="1">
        <v>14</v>
      </c>
      <c r="M449" s="1">
        <v>36.963000000000001</v>
      </c>
      <c r="N449" s="1">
        <v>17</v>
      </c>
      <c r="O449" s="1">
        <v>675</v>
      </c>
      <c r="P449" s="1">
        <v>13.549899999999999</v>
      </c>
      <c r="Q449" s="1">
        <v>24.95</v>
      </c>
      <c r="R449" s="5">
        <v>8.3333333333333339E-4</v>
      </c>
      <c r="S449" s="1">
        <v>6179</v>
      </c>
      <c r="T449" s="6">
        <v>6.7</v>
      </c>
      <c r="U449" s="1" t="str">
        <f>IF(ISNUMBER(SEARCH("Vande Bharat",Table1[[#This Row],[Video title]])),"Vande Bharat","Other")</f>
        <v>Other</v>
      </c>
    </row>
    <row r="450" spans="1:21" x14ac:dyDescent="0.3">
      <c r="A450" s="4" t="s">
        <v>918</v>
      </c>
      <c r="B450" s="1" t="s">
        <v>919</v>
      </c>
      <c r="C450" s="7">
        <v>44304</v>
      </c>
      <c r="D450" s="1">
        <v>72</v>
      </c>
      <c r="E450" s="1">
        <v>54.09</v>
      </c>
      <c r="F450" s="1">
        <v>0</v>
      </c>
      <c r="G450" s="1">
        <v>0</v>
      </c>
      <c r="H450" s="1">
        <v>30</v>
      </c>
      <c r="I450" s="1">
        <v>1</v>
      </c>
      <c r="J450" s="1">
        <v>96.77</v>
      </c>
      <c r="K450" s="1">
        <v>0</v>
      </c>
      <c r="L450" s="1">
        <v>11</v>
      </c>
      <c r="M450" s="1">
        <v>6.101</v>
      </c>
      <c r="N450" s="1">
        <v>9</v>
      </c>
      <c r="O450" s="1">
        <v>664</v>
      </c>
      <c r="P450" s="1">
        <v>7.1828000000000003</v>
      </c>
      <c r="Q450" s="1">
        <v>4.0510000000000002</v>
      </c>
      <c r="R450" s="5">
        <v>4.3981481481481481E-4</v>
      </c>
      <c r="S450" s="1">
        <v>6409</v>
      </c>
      <c r="T450" s="6">
        <v>7.43</v>
      </c>
      <c r="U450" s="1" t="str">
        <f>IF(ISNUMBER(SEARCH("Vande Bharat",Table1[[#This Row],[Video title]])),"Vande Bharat","Other")</f>
        <v>Other</v>
      </c>
    </row>
    <row r="451" spans="1:21" x14ac:dyDescent="0.3">
      <c r="A451" s="4" t="s">
        <v>920</v>
      </c>
      <c r="B451" s="1" t="s">
        <v>921</v>
      </c>
      <c r="C451" s="7">
        <v>44599</v>
      </c>
      <c r="D451" s="1">
        <v>248</v>
      </c>
      <c r="E451" s="1">
        <v>26.83</v>
      </c>
      <c r="F451" s="1">
        <v>0</v>
      </c>
      <c r="G451" s="1">
        <v>1</v>
      </c>
      <c r="H451" s="1">
        <v>29</v>
      </c>
      <c r="I451" s="1">
        <v>0</v>
      </c>
      <c r="J451" s="1">
        <v>100</v>
      </c>
      <c r="K451" s="1">
        <v>0</v>
      </c>
      <c r="L451" s="1">
        <v>7</v>
      </c>
      <c r="M451" s="1">
        <v>25.849</v>
      </c>
      <c r="N451" s="1">
        <v>8</v>
      </c>
      <c r="O451" s="1">
        <v>654</v>
      </c>
      <c r="P451" s="1">
        <v>12.088200000000001</v>
      </c>
      <c r="Q451" s="1">
        <v>16.905000000000001</v>
      </c>
      <c r="R451" s="5">
        <v>7.6388888888888893E-4</v>
      </c>
      <c r="S451" s="1">
        <v>4764</v>
      </c>
      <c r="T451" s="6">
        <v>7.7</v>
      </c>
      <c r="U451" s="1" t="str">
        <f>IF(ISNUMBER(SEARCH("Vande Bharat",Table1[[#This Row],[Video title]])),"Vande Bharat","Other")</f>
        <v>Other</v>
      </c>
    </row>
    <row r="452" spans="1:21" x14ac:dyDescent="0.3">
      <c r="A452" s="4" t="s">
        <v>922</v>
      </c>
      <c r="B452" s="1" t="s">
        <v>923</v>
      </c>
      <c r="C452" s="7">
        <v>44401</v>
      </c>
      <c r="D452" s="1">
        <v>232</v>
      </c>
      <c r="E452" s="1">
        <v>31.96</v>
      </c>
      <c r="F452" s="1">
        <v>2</v>
      </c>
      <c r="G452" s="1">
        <v>0</v>
      </c>
      <c r="H452" s="1">
        <v>29</v>
      </c>
      <c r="I452" s="1">
        <v>2</v>
      </c>
      <c r="J452" s="1">
        <v>93.55</v>
      </c>
      <c r="K452" s="1">
        <v>1</v>
      </c>
      <c r="L452" s="1">
        <v>6</v>
      </c>
      <c r="M452" s="1">
        <v>23.853000000000002</v>
      </c>
      <c r="N452" s="1">
        <v>8</v>
      </c>
      <c r="O452" s="1">
        <v>661</v>
      </c>
      <c r="P452" s="1">
        <v>13.616300000000001</v>
      </c>
      <c r="Q452" s="1">
        <v>15.766999999999999</v>
      </c>
      <c r="R452" s="5">
        <v>8.564814814814815E-4</v>
      </c>
      <c r="S452" s="1">
        <v>5121</v>
      </c>
      <c r="T452" s="6">
        <v>8.42</v>
      </c>
      <c r="U452" s="1" t="str">
        <f>IF(ISNUMBER(SEARCH("Vande Bharat",Table1[[#This Row],[Video title]])),"Vande Bharat","Other")</f>
        <v>Other</v>
      </c>
    </row>
    <row r="453" spans="1:21" x14ac:dyDescent="0.3">
      <c r="A453" s="4" t="s">
        <v>924</v>
      </c>
      <c r="B453" s="1" t="s">
        <v>925</v>
      </c>
      <c r="C453" s="7">
        <v>44389</v>
      </c>
      <c r="D453" s="1">
        <v>91</v>
      </c>
      <c r="E453" s="1">
        <v>43</v>
      </c>
      <c r="F453" s="1">
        <v>0</v>
      </c>
      <c r="G453" s="1">
        <v>0</v>
      </c>
      <c r="H453" s="1">
        <v>31</v>
      </c>
      <c r="I453" s="1">
        <v>1</v>
      </c>
      <c r="J453" s="1">
        <v>96.88</v>
      </c>
      <c r="K453" s="1">
        <v>4</v>
      </c>
      <c r="L453" s="1">
        <v>9</v>
      </c>
      <c r="M453" s="1">
        <v>11.486000000000001</v>
      </c>
      <c r="N453" s="1">
        <v>11</v>
      </c>
      <c r="O453" s="1">
        <v>664</v>
      </c>
      <c r="P453" s="1">
        <v>7.2167000000000003</v>
      </c>
      <c r="Q453" s="1">
        <v>7.6269999999999998</v>
      </c>
      <c r="R453" s="5">
        <v>4.5138888888888887E-4</v>
      </c>
      <c r="S453" s="1">
        <v>5422</v>
      </c>
      <c r="T453" s="6">
        <v>8.0399999999999991</v>
      </c>
      <c r="U453" s="1" t="str">
        <f>IF(ISNUMBER(SEARCH("Vande Bharat",Table1[[#This Row],[Video title]])),"Vande Bharat","Other")</f>
        <v>Other</v>
      </c>
    </row>
    <row r="454" spans="1:21" x14ac:dyDescent="0.3">
      <c r="A454" s="4" t="s">
        <v>926</v>
      </c>
      <c r="B454" s="1" t="s">
        <v>927</v>
      </c>
      <c r="C454" s="7">
        <v>45530</v>
      </c>
      <c r="D454" s="1">
        <v>35</v>
      </c>
      <c r="E454" s="1">
        <v>46.88</v>
      </c>
      <c r="F454" s="1">
        <v>1</v>
      </c>
      <c r="G454" s="1">
        <v>0</v>
      </c>
      <c r="H454" s="1">
        <v>23</v>
      </c>
      <c r="I454" s="1">
        <v>2</v>
      </c>
      <c r="J454" s="1">
        <v>92</v>
      </c>
      <c r="K454" s="1">
        <v>0</v>
      </c>
      <c r="L454" s="1">
        <v>1</v>
      </c>
      <c r="M454" s="1">
        <v>0.71099999999999997</v>
      </c>
      <c r="N454" s="1">
        <v>10</v>
      </c>
      <c r="O454" s="1">
        <v>619</v>
      </c>
      <c r="P454" s="1">
        <v>2.6930000000000001</v>
      </c>
      <c r="Q454" s="1">
        <v>0.41799999999999998</v>
      </c>
      <c r="R454" s="5">
        <v>1.8518518518518518E-4</v>
      </c>
      <c r="S454" s="1">
        <v>1234</v>
      </c>
      <c r="T454" s="6">
        <v>2.84</v>
      </c>
      <c r="U454" s="1" t="str">
        <f>IF(ISNUMBER(SEARCH("Vande Bharat",Table1[[#This Row],[Video title]])),"Vande Bharat","Other")</f>
        <v>Other</v>
      </c>
    </row>
    <row r="455" spans="1:21" x14ac:dyDescent="0.3">
      <c r="A455" s="4" t="s">
        <v>928</v>
      </c>
      <c r="B455" s="1" t="s">
        <v>929</v>
      </c>
      <c r="C455" s="7">
        <v>44441</v>
      </c>
      <c r="D455" s="1">
        <v>217</v>
      </c>
      <c r="E455" s="1">
        <v>31.62</v>
      </c>
      <c r="F455" s="1">
        <v>5</v>
      </c>
      <c r="G455" s="1">
        <v>1</v>
      </c>
      <c r="H455" s="1">
        <v>32</v>
      </c>
      <c r="I455" s="1">
        <v>0</v>
      </c>
      <c r="J455" s="1">
        <v>100</v>
      </c>
      <c r="K455" s="1">
        <v>0</v>
      </c>
      <c r="L455" s="1">
        <v>7</v>
      </c>
      <c r="M455" s="1">
        <v>16.440000000000001</v>
      </c>
      <c r="N455" s="1">
        <v>6</v>
      </c>
      <c r="O455" s="1">
        <v>648</v>
      </c>
      <c r="P455" s="1">
        <v>12.351100000000001</v>
      </c>
      <c r="Q455" s="1">
        <v>10.637</v>
      </c>
      <c r="R455" s="5">
        <v>7.8703703703703705E-4</v>
      </c>
      <c r="S455" s="1">
        <v>7451</v>
      </c>
      <c r="T455" s="6">
        <v>5.91</v>
      </c>
      <c r="U455" s="1" t="str">
        <f>IF(ISNUMBER(SEARCH("Vande Bharat",Table1[[#This Row],[Video title]])),"Vande Bharat","Other")</f>
        <v>Other</v>
      </c>
    </row>
    <row r="456" spans="1:21" x14ac:dyDescent="0.3">
      <c r="A456" s="4" t="s">
        <v>930</v>
      </c>
      <c r="B456" s="1" t="s">
        <v>931</v>
      </c>
      <c r="C456" s="7">
        <v>44258</v>
      </c>
      <c r="D456" s="1">
        <v>87</v>
      </c>
      <c r="E456" s="1">
        <v>47.34</v>
      </c>
      <c r="F456" s="1">
        <v>3</v>
      </c>
      <c r="G456" s="1">
        <v>1</v>
      </c>
      <c r="H456" s="1">
        <v>32</v>
      </c>
      <c r="I456" s="1">
        <v>0</v>
      </c>
      <c r="J456" s="1">
        <v>100</v>
      </c>
      <c r="K456" s="1">
        <v>1</v>
      </c>
      <c r="L456" s="1">
        <v>14</v>
      </c>
      <c r="M456" s="1">
        <v>0.20100000000000001</v>
      </c>
      <c r="N456" s="1">
        <v>7</v>
      </c>
      <c r="O456" s="1">
        <v>641</v>
      </c>
      <c r="P456" s="1">
        <v>7.3334999999999999</v>
      </c>
      <c r="Q456" s="1">
        <v>0.129</v>
      </c>
      <c r="R456" s="5">
        <v>4.7453703703703704E-4</v>
      </c>
      <c r="S456" s="1">
        <v>8071</v>
      </c>
      <c r="T456" s="6">
        <v>5.49</v>
      </c>
      <c r="U456" s="1" t="str">
        <f>IF(ISNUMBER(SEARCH("Vande Bharat",Table1[[#This Row],[Video title]])),"Vande Bharat","Other")</f>
        <v>Other</v>
      </c>
    </row>
    <row r="457" spans="1:21" x14ac:dyDescent="0.3">
      <c r="A457" s="4" t="s">
        <v>932</v>
      </c>
      <c r="B457" s="1" t="s">
        <v>933</v>
      </c>
      <c r="C457" s="7">
        <v>45905</v>
      </c>
      <c r="D457" s="1">
        <v>18</v>
      </c>
      <c r="E457" s="1">
        <v>60.42</v>
      </c>
      <c r="F457" s="1">
        <v>1</v>
      </c>
      <c r="G457" s="1">
        <v>0</v>
      </c>
      <c r="H457" s="1">
        <v>22</v>
      </c>
      <c r="I457" s="1">
        <v>0</v>
      </c>
      <c r="J457" s="1">
        <v>100</v>
      </c>
      <c r="K457" s="1">
        <v>0</v>
      </c>
      <c r="L457" s="1">
        <v>0</v>
      </c>
      <c r="M457" s="1">
        <v>1.147</v>
      </c>
      <c r="N457" s="1">
        <v>63</v>
      </c>
      <c r="O457" s="1">
        <v>1690</v>
      </c>
      <c r="P457" s="1">
        <v>2.1806000000000001</v>
      </c>
      <c r="Q457" s="1">
        <v>0.66300000000000003</v>
      </c>
      <c r="R457" s="5">
        <v>1.1574074074074075E-4</v>
      </c>
      <c r="S457" s="1">
        <v>1398</v>
      </c>
      <c r="T457" s="6">
        <v>1.79</v>
      </c>
      <c r="U457" s="1" t="str">
        <f>IF(ISNUMBER(SEARCH("Vande Bharat",Table1[[#This Row],[Video title]])),"Vande Bharat","Other")</f>
        <v>Other</v>
      </c>
    </row>
    <row r="458" spans="1:21" x14ac:dyDescent="0.3">
      <c r="A458" s="4" t="s">
        <v>934</v>
      </c>
      <c r="B458" s="1" t="s">
        <v>935</v>
      </c>
      <c r="C458" s="7">
        <v>44570</v>
      </c>
      <c r="D458" s="1">
        <v>133</v>
      </c>
      <c r="E458" s="1">
        <v>37.549999999999997</v>
      </c>
      <c r="F458" s="1">
        <v>1</v>
      </c>
      <c r="G458" s="1">
        <v>0</v>
      </c>
      <c r="H458" s="1">
        <v>24</v>
      </c>
      <c r="I458" s="1">
        <v>1</v>
      </c>
      <c r="J458" s="1">
        <v>96</v>
      </c>
      <c r="K458" s="1">
        <v>0</v>
      </c>
      <c r="L458" s="1">
        <v>12</v>
      </c>
      <c r="M458" s="1">
        <v>13.096</v>
      </c>
      <c r="N458" s="1">
        <v>9</v>
      </c>
      <c r="O458" s="1">
        <v>659</v>
      </c>
      <c r="P458" s="1">
        <v>9.1411999999999995</v>
      </c>
      <c r="Q458" s="1">
        <v>8.6300000000000008</v>
      </c>
      <c r="R458" s="5">
        <v>5.6712962962962967E-4</v>
      </c>
      <c r="S458" s="1">
        <v>7333</v>
      </c>
      <c r="T458" s="6">
        <v>5.5</v>
      </c>
      <c r="U458" s="1" t="str">
        <f>IF(ISNUMBER(SEARCH("Vande Bharat",Table1[[#This Row],[Video title]])),"Vande Bharat","Other")</f>
        <v>Other</v>
      </c>
    </row>
    <row r="459" spans="1:21" x14ac:dyDescent="0.3">
      <c r="A459" s="4" t="s">
        <v>936</v>
      </c>
      <c r="B459" s="1" t="s">
        <v>937</v>
      </c>
      <c r="C459" s="7">
        <v>44549</v>
      </c>
      <c r="D459" s="1">
        <v>102</v>
      </c>
      <c r="E459" s="1">
        <v>43.56</v>
      </c>
      <c r="F459" s="1">
        <v>1</v>
      </c>
      <c r="G459" s="1">
        <v>1</v>
      </c>
      <c r="H459" s="1">
        <v>28</v>
      </c>
      <c r="I459" s="1">
        <v>0</v>
      </c>
      <c r="J459" s="1">
        <v>100</v>
      </c>
      <c r="K459" s="1">
        <v>1</v>
      </c>
      <c r="L459" s="1">
        <v>5</v>
      </c>
      <c r="M459" s="1">
        <v>27.715</v>
      </c>
      <c r="N459" s="1">
        <v>8</v>
      </c>
      <c r="O459" s="1">
        <v>622</v>
      </c>
      <c r="P459" s="1">
        <v>7.6765999999999996</v>
      </c>
      <c r="Q459" s="1">
        <v>17.239000000000001</v>
      </c>
      <c r="R459" s="5">
        <v>5.0925925925925921E-4</v>
      </c>
      <c r="S459" s="1">
        <v>5581</v>
      </c>
      <c r="T459" s="6">
        <v>6.02</v>
      </c>
      <c r="U459" s="1" t="str">
        <f>IF(ISNUMBER(SEARCH("Vande Bharat",Table1[[#This Row],[Video title]])),"Vande Bharat","Other")</f>
        <v>Other</v>
      </c>
    </row>
    <row r="460" spans="1:21" x14ac:dyDescent="0.3">
      <c r="A460" s="4" t="s">
        <v>938</v>
      </c>
      <c r="B460" s="1" t="s">
        <v>939</v>
      </c>
      <c r="C460" s="7">
        <v>46016</v>
      </c>
      <c r="D460" s="1">
        <v>136</v>
      </c>
      <c r="E460" s="1">
        <v>30.19</v>
      </c>
      <c r="F460" s="1">
        <v>0</v>
      </c>
      <c r="G460" s="1">
        <v>0</v>
      </c>
      <c r="H460" s="1">
        <v>22</v>
      </c>
      <c r="I460" s="1">
        <v>2</v>
      </c>
      <c r="J460" s="1">
        <v>91.67</v>
      </c>
      <c r="K460" s="1">
        <v>1</v>
      </c>
      <c r="L460" s="1">
        <v>1</v>
      </c>
      <c r="M460" s="1">
        <v>18.373000000000001</v>
      </c>
      <c r="N460" s="1">
        <v>23</v>
      </c>
      <c r="O460" s="1">
        <v>647</v>
      </c>
      <c r="P460" s="1">
        <v>7.3794000000000004</v>
      </c>
      <c r="Q460" s="1">
        <v>11.855</v>
      </c>
      <c r="R460" s="5">
        <v>4.7453703703703704E-4</v>
      </c>
      <c r="S460" s="1">
        <v>9509</v>
      </c>
      <c r="T460" s="6">
        <v>5.28</v>
      </c>
      <c r="U460" s="1" t="str">
        <f>IF(ISNUMBER(SEARCH("Vande Bharat",Table1[[#This Row],[Video title]])),"Vande Bharat","Other")</f>
        <v>Other</v>
      </c>
    </row>
    <row r="461" spans="1:21" x14ac:dyDescent="0.3">
      <c r="A461" s="4" t="s">
        <v>940</v>
      </c>
      <c r="B461" s="1" t="s">
        <v>941</v>
      </c>
      <c r="C461" s="7">
        <v>46176</v>
      </c>
      <c r="D461" s="1">
        <v>17</v>
      </c>
      <c r="E461" s="1">
        <v>65.94</v>
      </c>
      <c r="F461" s="1">
        <v>1</v>
      </c>
      <c r="G461" s="1">
        <v>0</v>
      </c>
      <c r="H461" s="1">
        <v>22</v>
      </c>
      <c r="I461" s="1">
        <v>3</v>
      </c>
      <c r="J461" s="1">
        <v>88</v>
      </c>
      <c r="K461" s="1">
        <v>0</v>
      </c>
      <c r="L461" s="1">
        <v>1</v>
      </c>
      <c r="M461" s="1">
        <v>0.82899999999999996</v>
      </c>
      <c r="N461" s="1">
        <v>56</v>
      </c>
      <c r="O461" s="1">
        <v>1606</v>
      </c>
      <c r="P461" s="1">
        <v>2.1749999999999998</v>
      </c>
      <c r="Q461" s="1">
        <v>0.53400000000000003</v>
      </c>
      <c r="R461" s="5">
        <v>1.273148148148148E-4</v>
      </c>
      <c r="S461" s="1">
        <v>577</v>
      </c>
      <c r="T461" s="6">
        <v>2.4300000000000002</v>
      </c>
      <c r="U461" s="1" t="str">
        <f>IF(ISNUMBER(SEARCH("Vande Bharat",Table1[[#This Row],[Video title]])),"Vande Bharat","Other")</f>
        <v>Other</v>
      </c>
    </row>
    <row r="462" spans="1:21" x14ac:dyDescent="0.3">
      <c r="A462" s="4" t="s">
        <v>942</v>
      </c>
      <c r="B462" s="1" t="s">
        <v>943</v>
      </c>
      <c r="C462" s="7">
        <v>44423</v>
      </c>
      <c r="D462" s="1">
        <v>164</v>
      </c>
      <c r="E462" s="1">
        <v>26.62</v>
      </c>
      <c r="F462" s="1">
        <v>0</v>
      </c>
      <c r="G462" s="1">
        <v>1</v>
      </c>
      <c r="H462" s="1">
        <v>26</v>
      </c>
      <c r="I462" s="1">
        <v>1</v>
      </c>
      <c r="J462" s="1">
        <v>96.3</v>
      </c>
      <c r="K462" s="1">
        <v>1</v>
      </c>
      <c r="L462" s="1">
        <v>8</v>
      </c>
      <c r="M462" s="1">
        <v>10.801</v>
      </c>
      <c r="N462" s="1">
        <v>4</v>
      </c>
      <c r="O462" s="1">
        <v>647</v>
      </c>
      <c r="P462" s="1">
        <v>7.8475000000000001</v>
      </c>
      <c r="Q462" s="1">
        <v>6.9880000000000004</v>
      </c>
      <c r="R462" s="5">
        <v>4.9768518518518521E-4</v>
      </c>
      <c r="S462" s="1">
        <v>5570</v>
      </c>
      <c r="T462" s="6">
        <v>7.63</v>
      </c>
      <c r="U462" s="1" t="str">
        <f>IF(ISNUMBER(SEARCH("Vande Bharat",Table1[[#This Row],[Video title]])),"Vande Bharat","Other")</f>
        <v>Other</v>
      </c>
    </row>
    <row r="463" spans="1:21" x14ac:dyDescent="0.3">
      <c r="A463" s="4" t="s">
        <v>944</v>
      </c>
      <c r="B463" s="1" t="s">
        <v>945</v>
      </c>
      <c r="C463" s="7">
        <v>45991</v>
      </c>
      <c r="D463" s="1">
        <v>19</v>
      </c>
      <c r="E463" s="1">
        <v>59.34</v>
      </c>
      <c r="F463" s="1">
        <v>4</v>
      </c>
      <c r="G463" s="1">
        <v>0</v>
      </c>
      <c r="H463" s="1">
        <v>56</v>
      </c>
      <c r="I463" s="1">
        <v>1</v>
      </c>
      <c r="J463" s="1">
        <v>98.25</v>
      </c>
      <c r="K463" s="1">
        <v>0</v>
      </c>
      <c r="L463" s="1">
        <v>0</v>
      </c>
      <c r="M463" s="1">
        <v>1.0589999999999999</v>
      </c>
      <c r="N463" s="1">
        <v>30</v>
      </c>
      <c r="O463" s="1">
        <v>1321</v>
      </c>
      <c r="P463" s="1">
        <v>2.0529999999999999</v>
      </c>
      <c r="Q463" s="1">
        <v>0.59399999999999997</v>
      </c>
      <c r="R463" s="5">
        <v>1.273148148148148E-4</v>
      </c>
      <c r="S463" s="1">
        <v>865</v>
      </c>
      <c r="T463" s="6">
        <v>2.77</v>
      </c>
      <c r="U463" s="1" t="str">
        <f>IF(ISNUMBER(SEARCH("Vande Bharat",Table1[[#This Row],[Video title]])),"Vande Bharat","Other")</f>
        <v>Other</v>
      </c>
    </row>
    <row r="464" spans="1:21" x14ac:dyDescent="0.3">
      <c r="A464" s="4" t="s">
        <v>946</v>
      </c>
      <c r="B464" s="1" t="s">
        <v>947</v>
      </c>
      <c r="C464" s="7">
        <v>44183</v>
      </c>
      <c r="D464" s="1">
        <v>71</v>
      </c>
      <c r="E464" s="1">
        <v>56.38</v>
      </c>
      <c r="F464" s="1">
        <v>2</v>
      </c>
      <c r="G464" s="1">
        <v>0</v>
      </c>
      <c r="H464" s="1">
        <v>20</v>
      </c>
      <c r="I464" s="1">
        <v>0</v>
      </c>
      <c r="J464" s="1">
        <v>100</v>
      </c>
      <c r="K464" s="1">
        <v>5</v>
      </c>
      <c r="L464" s="1">
        <v>9</v>
      </c>
      <c r="M464" s="1">
        <v>0.86599999999999999</v>
      </c>
      <c r="N464" s="1">
        <v>9</v>
      </c>
      <c r="O464" s="1">
        <v>647</v>
      </c>
      <c r="P464" s="1">
        <v>7.1940999999999997</v>
      </c>
      <c r="Q464" s="1">
        <v>0.56000000000000005</v>
      </c>
      <c r="R464" s="5">
        <v>4.6296296296296298E-4</v>
      </c>
      <c r="S464" s="1">
        <v>3823</v>
      </c>
      <c r="T464" s="6">
        <v>11.54</v>
      </c>
      <c r="U464" s="1" t="str">
        <f>IF(ISNUMBER(SEARCH("Vande Bharat",Table1[[#This Row],[Video title]])),"Vande Bharat","Other")</f>
        <v>Other</v>
      </c>
    </row>
    <row r="465" spans="1:21" x14ac:dyDescent="0.3">
      <c r="A465" s="4" t="s">
        <v>948</v>
      </c>
      <c r="B465" s="1" t="s">
        <v>949</v>
      </c>
      <c r="C465" s="7">
        <v>44176</v>
      </c>
      <c r="D465" s="1">
        <v>265</v>
      </c>
      <c r="E465" s="1">
        <v>27.69</v>
      </c>
      <c r="F465" s="1">
        <v>4</v>
      </c>
      <c r="G465" s="1">
        <v>0</v>
      </c>
      <c r="H465" s="1">
        <v>31</v>
      </c>
      <c r="I465" s="1">
        <v>0</v>
      </c>
      <c r="J465" s="1">
        <v>100</v>
      </c>
      <c r="K465" s="1">
        <v>3</v>
      </c>
      <c r="L465" s="1">
        <v>11</v>
      </c>
      <c r="M465" s="1">
        <v>8.3000000000000004E-2</v>
      </c>
      <c r="N465" s="1">
        <v>5</v>
      </c>
      <c r="O465" s="1">
        <v>674</v>
      </c>
      <c r="P465" s="1">
        <v>13.7393</v>
      </c>
      <c r="Q465" s="1">
        <v>5.6000000000000001E-2</v>
      </c>
      <c r="R465" s="5">
        <v>8.4490740740740739E-4</v>
      </c>
      <c r="S465" s="1">
        <v>8655</v>
      </c>
      <c r="T465" s="6">
        <v>5.93</v>
      </c>
      <c r="U465" s="1" t="str">
        <f>IF(ISNUMBER(SEARCH("Vande Bharat",Table1[[#This Row],[Video title]])),"Vande Bharat","Other")</f>
        <v>Other</v>
      </c>
    </row>
    <row r="466" spans="1:21" x14ac:dyDescent="0.3">
      <c r="A466" s="4" t="s">
        <v>950</v>
      </c>
      <c r="B466" s="1" t="s">
        <v>951</v>
      </c>
      <c r="C466" s="7">
        <v>44626</v>
      </c>
      <c r="D466" s="1">
        <v>132</v>
      </c>
      <c r="E466" s="1">
        <v>40.98</v>
      </c>
      <c r="F466" s="1">
        <v>1</v>
      </c>
      <c r="G466" s="1">
        <v>1</v>
      </c>
      <c r="H466" s="1">
        <v>43</v>
      </c>
      <c r="I466" s="1">
        <v>0</v>
      </c>
      <c r="J466" s="1">
        <v>100</v>
      </c>
      <c r="K466" s="1">
        <v>2</v>
      </c>
      <c r="L466" s="1">
        <v>12</v>
      </c>
      <c r="M466" s="1">
        <v>25.445</v>
      </c>
      <c r="N466" s="1">
        <v>16</v>
      </c>
      <c r="O466" s="1">
        <v>636</v>
      </c>
      <c r="P466" s="1">
        <v>9.5568000000000008</v>
      </c>
      <c r="Q466" s="1">
        <v>16.183</v>
      </c>
      <c r="R466" s="5">
        <v>6.2500000000000001E-4</v>
      </c>
      <c r="S466" s="1">
        <v>4925</v>
      </c>
      <c r="T466" s="6">
        <v>6.42</v>
      </c>
      <c r="U466" s="1" t="str">
        <f>IF(ISNUMBER(SEARCH("Vande Bharat",Table1[[#This Row],[Video title]])),"Vande Bharat","Other")</f>
        <v>Other</v>
      </c>
    </row>
    <row r="467" spans="1:21" x14ac:dyDescent="0.3">
      <c r="A467" s="4" t="s">
        <v>952</v>
      </c>
      <c r="B467" s="1" t="s">
        <v>953</v>
      </c>
      <c r="C467" s="7">
        <v>44842</v>
      </c>
      <c r="D467" s="1">
        <v>58</v>
      </c>
      <c r="E467" s="1">
        <v>45.52</v>
      </c>
      <c r="F467" s="1">
        <v>1</v>
      </c>
      <c r="G467" s="1">
        <v>1</v>
      </c>
      <c r="H467" s="1">
        <v>17</v>
      </c>
      <c r="I467" s="1">
        <v>0</v>
      </c>
      <c r="J467" s="1">
        <v>100</v>
      </c>
      <c r="K467" s="1">
        <v>0</v>
      </c>
      <c r="L467" s="1">
        <v>3</v>
      </c>
      <c r="M467" s="1">
        <v>8.7690000000000001</v>
      </c>
      <c r="N467" s="1">
        <v>15</v>
      </c>
      <c r="O467" s="1">
        <v>576</v>
      </c>
      <c r="P467" s="1">
        <v>4.2247000000000003</v>
      </c>
      <c r="Q467" s="1">
        <v>5.0510000000000002</v>
      </c>
      <c r="R467" s="5">
        <v>3.0092592592592595E-4</v>
      </c>
      <c r="S467" s="1">
        <v>4553</v>
      </c>
      <c r="T467" s="6">
        <v>10.34</v>
      </c>
      <c r="U467" s="1" t="str">
        <f>IF(ISNUMBER(SEARCH("Vande Bharat",Table1[[#This Row],[Video title]])),"Vande Bharat","Other")</f>
        <v>Other</v>
      </c>
    </row>
    <row r="468" spans="1:21" x14ac:dyDescent="0.3">
      <c r="A468" s="4" t="s">
        <v>954</v>
      </c>
      <c r="B468" s="1" t="s">
        <v>955</v>
      </c>
      <c r="C468" s="7">
        <v>44172</v>
      </c>
      <c r="D468" s="1">
        <v>129</v>
      </c>
      <c r="E468" s="1">
        <v>46.05</v>
      </c>
      <c r="F468" s="1">
        <v>4</v>
      </c>
      <c r="G468" s="1">
        <v>1</v>
      </c>
      <c r="H468" s="1">
        <v>34</v>
      </c>
      <c r="I468" s="1">
        <v>1</v>
      </c>
      <c r="J468" s="1">
        <v>97.14</v>
      </c>
      <c r="K468" s="1">
        <v>2</v>
      </c>
      <c r="L468" s="1">
        <v>5</v>
      </c>
      <c r="M468" s="1">
        <v>2.0990000000000002</v>
      </c>
      <c r="N468" s="1">
        <v>4</v>
      </c>
      <c r="O468" s="1">
        <v>617</v>
      </c>
      <c r="P468" s="1">
        <v>10.1808</v>
      </c>
      <c r="Q468" s="1">
        <v>1.2949999999999999</v>
      </c>
      <c r="R468" s="5">
        <v>6.8287037037037036E-4</v>
      </c>
      <c r="S468" s="1">
        <v>6369</v>
      </c>
      <c r="T468" s="6">
        <v>7.32</v>
      </c>
      <c r="U468" s="1" t="str">
        <f>IF(ISNUMBER(SEARCH("Vande Bharat",Table1[[#This Row],[Video title]])),"Vande Bharat","Other")</f>
        <v>Other</v>
      </c>
    </row>
    <row r="469" spans="1:21" x14ac:dyDescent="0.3">
      <c r="A469" s="4" t="s">
        <v>956</v>
      </c>
      <c r="B469" s="1" t="s">
        <v>957</v>
      </c>
      <c r="C469" s="7">
        <v>44700</v>
      </c>
      <c r="D469" s="1">
        <v>103</v>
      </c>
      <c r="E469" s="1">
        <v>46.96</v>
      </c>
      <c r="F469" s="1">
        <v>1</v>
      </c>
      <c r="G469" s="1">
        <v>1</v>
      </c>
      <c r="H469" s="1">
        <v>26</v>
      </c>
      <c r="I469" s="1">
        <v>0</v>
      </c>
      <c r="J469" s="1">
        <v>100</v>
      </c>
      <c r="K469" s="1">
        <v>1</v>
      </c>
      <c r="L469" s="1">
        <v>9</v>
      </c>
      <c r="M469" s="1">
        <v>21.106000000000002</v>
      </c>
      <c r="N469" s="1">
        <v>14</v>
      </c>
      <c r="O469" s="1">
        <v>633</v>
      </c>
      <c r="P469" s="1">
        <v>8.5043000000000006</v>
      </c>
      <c r="Q469" s="1">
        <v>13.36</v>
      </c>
      <c r="R469" s="5">
        <v>5.5555555555555556E-4</v>
      </c>
      <c r="S469" s="1">
        <v>5146</v>
      </c>
      <c r="T469" s="6">
        <v>9.93</v>
      </c>
      <c r="U469" s="1" t="str">
        <f>IF(ISNUMBER(SEARCH("Vande Bharat",Table1[[#This Row],[Video title]])),"Vande Bharat","Other")</f>
        <v>Other</v>
      </c>
    </row>
    <row r="470" spans="1:21" x14ac:dyDescent="0.3">
      <c r="A470" s="4" t="s">
        <v>958</v>
      </c>
      <c r="B470" s="1" t="s">
        <v>959</v>
      </c>
      <c r="C470" s="7">
        <v>45314</v>
      </c>
      <c r="D470" s="1">
        <v>156</v>
      </c>
      <c r="E470" s="1">
        <v>29.36</v>
      </c>
      <c r="F470" s="1">
        <v>1</v>
      </c>
      <c r="G470" s="1">
        <v>0</v>
      </c>
      <c r="H470" s="1">
        <v>17</v>
      </c>
      <c r="I470" s="1">
        <v>1</v>
      </c>
      <c r="J470" s="1">
        <v>94.44</v>
      </c>
      <c r="K470" s="1">
        <v>0</v>
      </c>
      <c r="L470" s="1">
        <v>3</v>
      </c>
      <c r="M470" s="1">
        <v>9.0329999999999995</v>
      </c>
      <c r="N470" s="1">
        <v>7</v>
      </c>
      <c r="O470" s="1">
        <v>577</v>
      </c>
      <c r="P470" s="1">
        <v>7.3414999999999999</v>
      </c>
      <c r="Q470" s="1">
        <v>5.2119999999999997</v>
      </c>
      <c r="R470" s="5">
        <v>5.2083333333333333E-4</v>
      </c>
      <c r="S470" s="1">
        <v>9240</v>
      </c>
      <c r="T470" s="6">
        <v>5.28</v>
      </c>
      <c r="U470" s="1" t="str">
        <f>IF(ISNUMBER(SEARCH("Vande Bharat",Table1[[#This Row],[Video title]])),"Vande Bharat","Other")</f>
        <v>Other</v>
      </c>
    </row>
    <row r="471" spans="1:21" x14ac:dyDescent="0.3">
      <c r="A471" s="4" t="s">
        <v>228</v>
      </c>
      <c r="B471" s="1" t="s">
        <v>229</v>
      </c>
      <c r="C471" s="7">
        <v>44959</v>
      </c>
      <c r="D471" s="1">
        <v>61</v>
      </c>
      <c r="E471" s="1">
        <v>57.35</v>
      </c>
      <c r="F471" s="1">
        <v>4</v>
      </c>
      <c r="G471" s="1">
        <v>0</v>
      </c>
      <c r="H471" s="1">
        <v>96</v>
      </c>
      <c r="I471" s="1">
        <v>1</v>
      </c>
      <c r="J471" s="1">
        <v>98.97</v>
      </c>
      <c r="K471" s="1">
        <v>12</v>
      </c>
      <c r="L471" s="1">
        <v>18</v>
      </c>
      <c r="M471" s="1">
        <v>12.734</v>
      </c>
      <c r="N471" s="1">
        <v>141</v>
      </c>
      <c r="O471" s="1">
        <v>3300</v>
      </c>
      <c r="P471" s="1">
        <v>32.070700000000002</v>
      </c>
      <c r="Q471" s="1">
        <v>42.023000000000003</v>
      </c>
      <c r="R471" s="5">
        <v>3.9351851851851852E-4</v>
      </c>
      <c r="S471" s="1">
        <v>20401</v>
      </c>
      <c r="T471" s="6">
        <v>13.61</v>
      </c>
      <c r="U471" s="1" t="str">
        <f>IF(ISNUMBER(SEARCH("Vande Bharat",Table1[[#This Row],[Video title]])),"Vande Bharat","Other")</f>
        <v>Vande Bharat</v>
      </c>
    </row>
    <row r="472" spans="1:21" x14ac:dyDescent="0.3">
      <c r="A472" s="4" t="s">
        <v>962</v>
      </c>
      <c r="B472" s="1" t="s">
        <v>963</v>
      </c>
      <c r="C472" s="7">
        <v>45520</v>
      </c>
      <c r="D472" s="1">
        <v>5604</v>
      </c>
      <c r="E472" s="1">
        <v>7.75</v>
      </c>
      <c r="F472" s="1">
        <v>4</v>
      </c>
      <c r="G472" s="1">
        <v>1</v>
      </c>
      <c r="H472" s="1">
        <v>28</v>
      </c>
      <c r="I472" s="1">
        <v>0</v>
      </c>
      <c r="J472" s="1">
        <v>100</v>
      </c>
      <c r="K472" s="1">
        <v>10</v>
      </c>
      <c r="L472" s="1">
        <v>4</v>
      </c>
      <c r="M472" s="1">
        <v>65.221000000000004</v>
      </c>
      <c r="N472" s="1">
        <v>34</v>
      </c>
      <c r="O472" s="1">
        <v>694</v>
      </c>
      <c r="P472" s="1">
        <v>83.675399999999996</v>
      </c>
      <c r="Q472" s="1">
        <v>45.198</v>
      </c>
      <c r="R472" s="5">
        <v>5.0231481481481481E-3</v>
      </c>
      <c r="S472" s="1">
        <v>11490</v>
      </c>
      <c r="T472" s="6">
        <v>4.32</v>
      </c>
      <c r="U472" s="1" t="str">
        <f>IF(ISNUMBER(SEARCH("Vande Bharat",Table1[[#This Row],[Video title]])),"Vande Bharat","Other")</f>
        <v>Other</v>
      </c>
    </row>
    <row r="473" spans="1:21" x14ac:dyDescent="0.3">
      <c r="A473" s="4" t="s">
        <v>964</v>
      </c>
      <c r="B473" s="1" t="s">
        <v>965</v>
      </c>
      <c r="C473" s="7">
        <v>44233</v>
      </c>
      <c r="D473" s="1">
        <v>204</v>
      </c>
      <c r="E473" s="1">
        <v>27.21</v>
      </c>
      <c r="F473" s="1">
        <v>3</v>
      </c>
      <c r="G473" s="1">
        <v>0</v>
      </c>
      <c r="H473" s="1">
        <v>21</v>
      </c>
      <c r="I473" s="1">
        <v>1</v>
      </c>
      <c r="J473" s="1">
        <v>95.45</v>
      </c>
      <c r="K473" s="1">
        <v>5</v>
      </c>
      <c r="L473" s="1">
        <v>10</v>
      </c>
      <c r="M473" s="1">
        <v>1.1519999999999999</v>
      </c>
      <c r="N473" s="1">
        <v>9</v>
      </c>
      <c r="O473" s="1">
        <v>610</v>
      </c>
      <c r="P473" s="1">
        <v>9.4049999999999994</v>
      </c>
      <c r="Q473" s="1">
        <v>0.70299999999999996</v>
      </c>
      <c r="R473" s="5">
        <v>6.3657407407407413E-4</v>
      </c>
      <c r="S473" s="1">
        <v>10403</v>
      </c>
      <c r="T473" s="6">
        <v>4.4000000000000004</v>
      </c>
      <c r="U473" s="1" t="str">
        <f>IF(ISNUMBER(SEARCH("Vande Bharat",Table1[[#This Row],[Video title]])),"Vande Bharat","Other")</f>
        <v>Other</v>
      </c>
    </row>
    <row r="474" spans="1:21" x14ac:dyDescent="0.3">
      <c r="A474" s="4" t="s">
        <v>966</v>
      </c>
      <c r="B474" s="1" t="s">
        <v>967</v>
      </c>
      <c r="C474" s="7">
        <v>44248</v>
      </c>
      <c r="D474" s="1">
        <v>217</v>
      </c>
      <c r="E474" s="1">
        <v>41.99</v>
      </c>
      <c r="F474" s="1">
        <v>2</v>
      </c>
      <c r="G474" s="1">
        <v>0</v>
      </c>
      <c r="H474" s="1">
        <v>41</v>
      </c>
      <c r="I474" s="1">
        <v>6</v>
      </c>
      <c r="J474" s="1">
        <v>87.23</v>
      </c>
      <c r="K474" s="1">
        <v>2</v>
      </c>
      <c r="L474" s="1">
        <v>22</v>
      </c>
      <c r="M474" s="1">
        <v>8.7999999999999995E-2</v>
      </c>
      <c r="N474" s="1">
        <v>10</v>
      </c>
      <c r="O474" s="1">
        <v>671</v>
      </c>
      <c r="P474" s="1">
        <v>16.984500000000001</v>
      </c>
      <c r="Q474" s="1">
        <v>5.8999999999999997E-2</v>
      </c>
      <c r="R474" s="5">
        <v>1.0532407407407407E-3</v>
      </c>
      <c r="S474" s="1">
        <v>8788</v>
      </c>
      <c r="T474" s="6">
        <v>5.41</v>
      </c>
      <c r="U474" s="1" t="str">
        <f>IF(ISNUMBER(SEARCH("Vande Bharat",Table1[[#This Row],[Video title]])),"Vande Bharat","Other")</f>
        <v>Other</v>
      </c>
    </row>
    <row r="475" spans="1:21" x14ac:dyDescent="0.3">
      <c r="A475" s="4" t="s">
        <v>968</v>
      </c>
      <c r="B475" s="1" t="s">
        <v>969</v>
      </c>
      <c r="C475" s="7">
        <v>44300</v>
      </c>
      <c r="D475" s="1">
        <v>278</v>
      </c>
      <c r="E475" s="1">
        <v>25.41</v>
      </c>
      <c r="F475" s="1">
        <v>1</v>
      </c>
      <c r="G475" s="1">
        <v>1</v>
      </c>
      <c r="H475" s="1">
        <v>29</v>
      </c>
      <c r="I475" s="1">
        <v>1</v>
      </c>
      <c r="J475" s="1">
        <v>96.67</v>
      </c>
      <c r="K475" s="1">
        <v>2</v>
      </c>
      <c r="L475" s="1">
        <v>9</v>
      </c>
      <c r="M475" s="1">
        <v>2.488</v>
      </c>
      <c r="N475" s="1">
        <v>6</v>
      </c>
      <c r="O475" s="1">
        <v>627</v>
      </c>
      <c r="P475" s="1">
        <v>12.3018</v>
      </c>
      <c r="Q475" s="1">
        <v>1.56</v>
      </c>
      <c r="R475" s="5">
        <v>8.1018518518518516E-4</v>
      </c>
      <c r="S475" s="1">
        <v>7873</v>
      </c>
      <c r="T475" s="6">
        <v>5.69</v>
      </c>
      <c r="U475" s="1" t="str">
        <f>IF(ISNUMBER(SEARCH("Vande Bharat",Table1[[#This Row],[Video title]])),"Vande Bharat","Other")</f>
        <v>Other</v>
      </c>
    </row>
    <row r="476" spans="1:21" x14ac:dyDescent="0.3">
      <c r="A476" s="4" t="s">
        <v>970</v>
      </c>
      <c r="B476" s="1" t="s">
        <v>971</v>
      </c>
      <c r="C476" s="7">
        <v>45487</v>
      </c>
      <c r="D476" s="1">
        <v>14</v>
      </c>
      <c r="E476" s="1">
        <v>87.27</v>
      </c>
      <c r="F476" s="1">
        <v>0</v>
      </c>
      <c r="G476" s="1">
        <v>0</v>
      </c>
      <c r="H476" s="1">
        <v>19</v>
      </c>
      <c r="I476" s="1">
        <v>1</v>
      </c>
      <c r="J476" s="1">
        <v>95</v>
      </c>
      <c r="K476" s="1">
        <v>0</v>
      </c>
      <c r="L476" s="1">
        <v>0</v>
      </c>
      <c r="M476" s="1">
        <v>0.89300000000000002</v>
      </c>
      <c r="N476" s="1">
        <v>33</v>
      </c>
      <c r="O476" s="1">
        <v>621</v>
      </c>
      <c r="P476" s="1">
        <v>1.8885000000000001</v>
      </c>
      <c r="Q476" s="1">
        <v>0.49199999999999999</v>
      </c>
      <c r="R476" s="5">
        <v>1.3888888888888889E-4</v>
      </c>
      <c r="S476" s="1">
        <v>1513</v>
      </c>
      <c r="T476" s="6">
        <v>3.3</v>
      </c>
      <c r="U476" s="1" t="str">
        <f>IF(ISNUMBER(SEARCH("Vande Bharat",Table1[[#This Row],[Video title]])),"Vande Bharat","Other")</f>
        <v>Other</v>
      </c>
    </row>
    <row r="477" spans="1:21" x14ac:dyDescent="0.3">
      <c r="A477" s="4" t="s">
        <v>972</v>
      </c>
      <c r="B477" s="1" t="s">
        <v>973</v>
      </c>
      <c r="C477" s="7">
        <v>45465</v>
      </c>
      <c r="D477" s="1">
        <v>136</v>
      </c>
      <c r="E477" s="1">
        <v>27.03</v>
      </c>
      <c r="F477" s="1">
        <v>1</v>
      </c>
      <c r="G477" s="1">
        <v>0</v>
      </c>
      <c r="H477" s="1">
        <v>9</v>
      </c>
      <c r="I477" s="1">
        <v>1</v>
      </c>
      <c r="J477" s="1">
        <v>90</v>
      </c>
      <c r="K477" s="1">
        <v>0</v>
      </c>
      <c r="L477" s="1">
        <v>1</v>
      </c>
      <c r="M477" s="1">
        <v>0.74</v>
      </c>
      <c r="N477" s="1">
        <v>14</v>
      </c>
      <c r="O477" s="1">
        <v>578</v>
      </c>
      <c r="P477" s="1">
        <v>5.9028999999999998</v>
      </c>
      <c r="Q477" s="1">
        <v>0.42799999999999999</v>
      </c>
      <c r="R477" s="5">
        <v>4.1666666666666669E-4</v>
      </c>
      <c r="S477" s="1">
        <v>8863</v>
      </c>
      <c r="T477" s="6">
        <v>5.43</v>
      </c>
      <c r="U477" s="1" t="str">
        <f>IF(ISNUMBER(SEARCH("Vande Bharat",Table1[[#This Row],[Video title]])),"Vande Bharat","Other")</f>
        <v>Other</v>
      </c>
    </row>
    <row r="478" spans="1:21" x14ac:dyDescent="0.3">
      <c r="A478" s="4" t="s">
        <v>974</v>
      </c>
      <c r="B478" s="1" t="s">
        <v>975</v>
      </c>
      <c r="C478" s="7">
        <v>44856</v>
      </c>
      <c r="D478" s="1">
        <v>82</v>
      </c>
      <c r="E478" s="1">
        <v>40.33</v>
      </c>
      <c r="F478" s="1">
        <v>2</v>
      </c>
      <c r="G478" s="1">
        <v>3</v>
      </c>
      <c r="H478" s="1">
        <v>24</v>
      </c>
      <c r="I478" s="1">
        <v>1</v>
      </c>
      <c r="J478" s="1">
        <v>96</v>
      </c>
      <c r="K478" s="1">
        <v>2</v>
      </c>
      <c r="L478" s="1">
        <v>13</v>
      </c>
      <c r="M478" s="1">
        <v>29.652999999999999</v>
      </c>
      <c r="N478" s="1">
        <v>10</v>
      </c>
      <c r="O478" s="1">
        <v>591</v>
      </c>
      <c r="P478" s="1">
        <v>5.4290000000000003</v>
      </c>
      <c r="Q478" s="1">
        <v>17.524999999999999</v>
      </c>
      <c r="R478" s="5">
        <v>3.8194444444444446E-4</v>
      </c>
      <c r="S478" s="1">
        <v>6348</v>
      </c>
      <c r="T478" s="6">
        <v>6.98</v>
      </c>
      <c r="U478" s="1" t="str">
        <f>IF(ISNUMBER(SEARCH("Vande Bharat",Table1[[#This Row],[Video title]])),"Vande Bharat","Other")</f>
        <v>Other</v>
      </c>
    </row>
    <row r="479" spans="1:21" x14ac:dyDescent="0.3">
      <c r="A479" s="4" t="s">
        <v>976</v>
      </c>
      <c r="B479" s="1" t="s">
        <v>977</v>
      </c>
      <c r="C479" s="7">
        <v>44312</v>
      </c>
      <c r="D479" s="1">
        <v>92</v>
      </c>
      <c r="E479" s="1">
        <v>44.4</v>
      </c>
      <c r="F479" s="1">
        <v>1</v>
      </c>
      <c r="G479" s="1">
        <v>1</v>
      </c>
      <c r="H479" s="1">
        <v>24</v>
      </c>
      <c r="I479" s="1">
        <v>1</v>
      </c>
      <c r="J479" s="1">
        <v>96</v>
      </c>
      <c r="K479" s="1">
        <v>2</v>
      </c>
      <c r="L479" s="1">
        <v>12</v>
      </c>
      <c r="M479" s="1">
        <v>9.0820000000000007</v>
      </c>
      <c r="N479" s="1">
        <v>10</v>
      </c>
      <c r="O479" s="1">
        <v>584</v>
      </c>
      <c r="P479" s="1">
        <v>6.6269999999999998</v>
      </c>
      <c r="Q479" s="1">
        <v>5.2949999999999999</v>
      </c>
      <c r="R479" s="5">
        <v>4.6296296296296298E-4</v>
      </c>
      <c r="S479" s="1">
        <v>5745</v>
      </c>
      <c r="T479" s="6">
        <v>7</v>
      </c>
      <c r="U479" s="1" t="str">
        <f>IF(ISNUMBER(SEARCH("Vande Bharat",Table1[[#This Row],[Video title]])),"Vande Bharat","Other")</f>
        <v>Other</v>
      </c>
    </row>
    <row r="480" spans="1:21" x14ac:dyDescent="0.3">
      <c r="A480" s="4" t="s">
        <v>978</v>
      </c>
      <c r="B480" s="1" t="s">
        <v>979</v>
      </c>
      <c r="C480" s="7">
        <v>44314</v>
      </c>
      <c r="D480" s="1">
        <v>93</v>
      </c>
      <c r="E480" s="1">
        <v>42.02</v>
      </c>
      <c r="F480" s="1">
        <v>1</v>
      </c>
      <c r="G480" s="1">
        <v>0</v>
      </c>
      <c r="H480" s="1">
        <v>32</v>
      </c>
      <c r="I480" s="1">
        <v>0</v>
      </c>
      <c r="J480" s="1">
        <v>100</v>
      </c>
      <c r="K480" s="1">
        <v>6</v>
      </c>
      <c r="L480" s="1">
        <v>11</v>
      </c>
      <c r="M480" s="1">
        <v>14.369</v>
      </c>
      <c r="N480" s="1">
        <v>5</v>
      </c>
      <c r="O480" s="1">
        <v>623</v>
      </c>
      <c r="P480" s="1">
        <v>6.7633000000000001</v>
      </c>
      <c r="Q480" s="1">
        <v>8.952</v>
      </c>
      <c r="R480" s="5">
        <v>4.5138888888888887E-4</v>
      </c>
      <c r="S480" s="1">
        <v>7409</v>
      </c>
      <c r="T480" s="6">
        <v>5.88</v>
      </c>
      <c r="U480" s="1" t="str">
        <f>IF(ISNUMBER(SEARCH("Vande Bharat",Table1[[#This Row],[Video title]])),"Vande Bharat","Other")</f>
        <v>Other</v>
      </c>
    </row>
    <row r="481" spans="1:21" x14ac:dyDescent="0.3">
      <c r="A481" s="4" t="s">
        <v>468</v>
      </c>
      <c r="B481" s="1" t="s">
        <v>469</v>
      </c>
      <c r="C481" s="7">
        <v>44870</v>
      </c>
      <c r="D481" s="1">
        <v>204</v>
      </c>
      <c r="E481" s="1">
        <v>20.96</v>
      </c>
      <c r="F481" s="1">
        <v>2</v>
      </c>
      <c r="G481" s="1">
        <v>1</v>
      </c>
      <c r="H481" s="1">
        <v>14</v>
      </c>
      <c r="I481" s="1">
        <v>1</v>
      </c>
      <c r="J481" s="1">
        <v>93.33</v>
      </c>
      <c r="K481" s="1">
        <v>1</v>
      </c>
      <c r="L481" s="1">
        <v>6</v>
      </c>
      <c r="M481" s="1">
        <v>9.9309999999999992</v>
      </c>
      <c r="N481" s="1">
        <v>43</v>
      </c>
      <c r="O481" s="1">
        <v>1463</v>
      </c>
      <c r="P481" s="1">
        <v>17.374500000000001</v>
      </c>
      <c r="Q481" s="1">
        <v>14.519</v>
      </c>
      <c r="R481" s="5">
        <v>4.861111111111111E-4</v>
      </c>
      <c r="S481" s="1">
        <v>11173</v>
      </c>
      <c r="T481" s="6">
        <v>11.91</v>
      </c>
      <c r="U481" s="1" t="str">
        <f>IF(ISNUMBER(SEARCH("Vande Bharat",Table1[[#This Row],[Video title]])),"Vande Bharat","Other")</f>
        <v>Vande Bharat</v>
      </c>
    </row>
    <row r="482" spans="1:21" x14ac:dyDescent="0.3">
      <c r="A482" s="4" t="s">
        <v>982</v>
      </c>
      <c r="B482" s="1" t="s">
        <v>983</v>
      </c>
      <c r="C482" s="7">
        <v>44353</v>
      </c>
      <c r="D482" s="1">
        <v>301</v>
      </c>
      <c r="E482" s="1">
        <v>25.38</v>
      </c>
      <c r="F482" s="1">
        <v>3</v>
      </c>
      <c r="G482" s="1">
        <v>0</v>
      </c>
      <c r="H482" s="1">
        <v>32</v>
      </c>
      <c r="I482" s="1">
        <v>2</v>
      </c>
      <c r="J482" s="1">
        <v>94.12</v>
      </c>
      <c r="K482" s="1">
        <v>3</v>
      </c>
      <c r="L482" s="1">
        <v>12</v>
      </c>
      <c r="M482" s="1">
        <v>17.594999999999999</v>
      </c>
      <c r="N482" s="1">
        <v>12</v>
      </c>
      <c r="O482" s="1">
        <v>598</v>
      </c>
      <c r="P482" s="1">
        <v>12.692</v>
      </c>
      <c r="Q482" s="1">
        <v>10.522</v>
      </c>
      <c r="R482" s="5">
        <v>8.7962962962962962E-4</v>
      </c>
      <c r="S482" s="1">
        <v>7575</v>
      </c>
      <c r="T482" s="6">
        <v>5.7</v>
      </c>
      <c r="U482" s="1" t="str">
        <f>IF(ISNUMBER(SEARCH("Vande Bharat",Table1[[#This Row],[Video title]])),"Vande Bharat","Other")</f>
        <v>Other</v>
      </c>
    </row>
    <row r="483" spans="1:21" x14ac:dyDescent="0.3">
      <c r="A483" s="4" t="s">
        <v>984</v>
      </c>
      <c r="B483" s="1" t="s">
        <v>985</v>
      </c>
      <c r="C483" s="7">
        <v>45803</v>
      </c>
      <c r="D483" s="1">
        <v>21</v>
      </c>
      <c r="E483" s="1">
        <v>52.37</v>
      </c>
      <c r="F483" s="1">
        <v>0</v>
      </c>
      <c r="G483" s="1">
        <v>0</v>
      </c>
      <c r="H483" s="1">
        <v>21</v>
      </c>
      <c r="I483" s="1">
        <v>1</v>
      </c>
      <c r="J483" s="1">
        <v>95.45</v>
      </c>
      <c r="K483" s="1">
        <v>1</v>
      </c>
      <c r="L483" s="1">
        <v>1</v>
      </c>
      <c r="M483" s="1">
        <v>0.69899999999999995</v>
      </c>
      <c r="N483" s="1">
        <v>32</v>
      </c>
      <c r="O483" s="1">
        <v>1302</v>
      </c>
      <c r="P483" s="1">
        <v>1.9583999999999999</v>
      </c>
      <c r="Q483" s="1">
        <v>0.379</v>
      </c>
      <c r="R483" s="5">
        <v>1.1574074074074075E-4</v>
      </c>
      <c r="S483" s="1">
        <v>935</v>
      </c>
      <c r="T483" s="6">
        <v>1.82</v>
      </c>
      <c r="U483" s="1" t="str">
        <f>IF(ISNUMBER(SEARCH("Vande Bharat",Table1[[#This Row],[Video title]])),"Vande Bharat","Other")</f>
        <v>Other</v>
      </c>
    </row>
    <row r="484" spans="1:21" x14ac:dyDescent="0.3">
      <c r="A484" s="4" t="s">
        <v>986</v>
      </c>
      <c r="B484" s="1" t="s">
        <v>987</v>
      </c>
      <c r="C484" s="7">
        <v>44131</v>
      </c>
      <c r="D484" s="1">
        <v>100</v>
      </c>
      <c r="E484" s="1">
        <v>43.46</v>
      </c>
      <c r="F484" s="1">
        <v>1</v>
      </c>
      <c r="G484" s="1">
        <v>0</v>
      </c>
      <c r="H484" s="1">
        <v>22</v>
      </c>
      <c r="I484" s="1">
        <v>0</v>
      </c>
      <c r="J484" s="1">
        <v>100</v>
      </c>
      <c r="K484" s="1">
        <v>2</v>
      </c>
      <c r="L484" s="1">
        <v>5</v>
      </c>
      <c r="M484" s="1">
        <v>2.2599999999999998</v>
      </c>
      <c r="N484" s="1">
        <v>3</v>
      </c>
      <c r="O484" s="1">
        <v>651</v>
      </c>
      <c r="P484" s="1">
        <v>7.8583999999999996</v>
      </c>
      <c r="Q484" s="1">
        <v>1.4710000000000001</v>
      </c>
      <c r="R484" s="5">
        <v>4.9768518518518521E-4</v>
      </c>
      <c r="S484" s="1">
        <v>7082</v>
      </c>
      <c r="T484" s="6">
        <v>6.55</v>
      </c>
      <c r="U484" s="1" t="str">
        <f>IF(ISNUMBER(SEARCH("Vande Bharat",Table1[[#This Row],[Video title]])),"Vande Bharat","Other")</f>
        <v>Other</v>
      </c>
    </row>
    <row r="485" spans="1:21" x14ac:dyDescent="0.3">
      <c r="A485" s="4" t="s">
        <v>988</v>
      </c>
      <c r="B485" s="1" t="s">
        <v>989</v>
      </c>
      <c r="C485" s="7">
        <v>44433</v>
      </c>
      <c r="D485" s="1">
        <v>116</v>
      </c>
      <c r="E485" s="1">
        <v>44.54</v>
      </c>
      <c r="F485" s="1">
        <v>0</v>
      </c>
      <c r="G485" s="1">
        <v>0</v>
      </c>
      <c r="H485" s="1">
        <v>28</v>
      </c>
      <c r="I485" s="1">
        <v>0</v>
      </c>
      <c r="J485" s="1">
        <v>100</v>
      </c>
      <c r="K485" s="1">
        <v>2</v>
      </c>
      <c r="L485" s="1">
        <v>7</v>
      </c>
      <c r="M485" s="1">
        <v>21.071999999999999</v>
      </c>
      <c r="N485" s="1">
        <v>8</v>
      </c>
      <c r="O485" s="1">
        <v>596</v>
      </c>
      <c r="P485" s="1">
        <v>8.5535999999999994</v>
      </c>
      <c r="Q485" s="1">
        <v>12.558999999999999</v>
      </c>
      <c r="R485" s="5">
        <v>5.9027777777777778E-4</v>
      </c>
      <c r="S485" s="1">
        <v>5943</v>
      </c>
      <c r="T485" s="6">
        <v>6.14</v>
      </c>
      <c r="U485" s="1" t="str">
        <f>IF(ISNUMBER(SEARCH("Vande Bharat",Table1[[#This Row],[Video title]])),"Vande Bharat","Other")</f>
        <v>Other</v>
      </c>
    </row>
    <row r="486" spans="1:21" x14ac:dyDescent="0.3">
      <c r="A486" s="4" t="s">
        <v>990</v>
      </c>
      <c r="B486" s="1" t="s">
        <v>991</v>
      </c>
      <c r="C486" s="7">
        <v>44878</v>
      </c>
      <c r="D486" s="1">
        <v>148</v>
      </c>
      <c r="E486" s="1">
        <v>36.1</v>
      </c>
      <c r="F486" s="1">
        <v>0</v>
      </c>
      <c r="G486" s="1">
        <v>0</v>
      </c>
      <c r="H486" s="1">
        <v>16</v>
      </c>
      <c r="I486" s="1">
        <v>0</v>
      </c>
      <c r="J486" s="1">
        <v>100</v>
      </c>
      <c r="K486" s="1">
        <v>2</v>
      </c>
      <c r="L486" s="1">
        <v>5</v>
      </c>
      <c r="M486" s="1">
        <v>12.346</v>
      </c>
      <c r="N486" s="1">
        <v>16</v>
      </c>
      <c r="O486" s="1">
        <v>610</v>
      </c>
      <c r="P486" s="1">
        <v>9.0524000000000004</v>
      </c>
      <c r="Q486" s="1">
        <v>7.5309999999999997</v>
      </c>
      <c r="R486" s="5">
        <v>6.134259259259259E-4</v>
      </c>
      <c r="S486" s="1">
        <v>5897</v>
      </c>
      <c r="T486" s="6">
        <v>9</v>
      </c>
      <c r="U486" s="1" t="str">
        <f>IF(ISNUMBER(SEARCH("Vande Bharat",Table1[[#This Row],[Video title]])),"Vande Bharat","Other")</f>
        <v>Other</v>
      </c>
    </row>
    <row r="487" spans="1:21" x14ac:dyDescent="0.3">
      <c r="A487" s="4" t="s">
        <v>992</v>
      </c>
      <c r="B487" s="1" t="s">
        <v>993</v>
      </c>
      <c r="C487" s="7">
        <v>44351</v>
      </c>
      <c r="D487" s="1">
        <v>103</v>
      </c>
      <c r="E487" s="1">
        <v>48.28</v>
      </c>
      <c r="F487" s="1">
        <v>1</v>
      </c>
      <c r="G487" s="1">
        <v>1</v>
      </c>
      <c r="H487" s="1">
        <v>30</v>
      </c>
      <c r="I487" s="1">
        <v>2</v>
      </c>
      <c r="J487" s="1">
        <v>93.75</v>
      </c>
      <c r="K487" s="1">
        <v>1</v>
      </c>
      <c r="L487" s="1">
        <v>12</v>
      </c>
      <c r="M487" s="1">
        <v>18.88</v>
      </c>
      <c r="N487" s="1">
        <v>11</v>
      </c>
      <c r="O487" s="1">
        <v>565</v>
      </c>
      <c r="P487" s="1">
        <v>7.8041</v>
      </c>
      <c r="Q487" s="1">
        <v>10.667</v>
      </c>
      <c r="R487" s="5">
        <v>5.6712962962962967E-4</v>
      </c>
      <c r="S487" s="1">
        <v>5091</v>
      </c>
      <c r="T487" s="6">
        <v>7.5</v>
      </c>
      <c r="U487" s="1" t="str">
        <f>IF(ISNUMBER(SEARCH("Vande Bharat",Table1[[#This Row],[Video title]])),"Vande Bharat","Other")</f>
        <v>Other</v>
      </c>
    </row>
    <row r="488" spans="1:21" x14ac:dyDescent="0.3">
      <c r="A488" s="4" t="s">
        <v>994</v>
      </c>
      <c r="B488" s="1" t="s">
        <v>995</v>
      </c>
      <c r="C488" s="7">
        <v>44905</v>
      </c>
      <c r="D488" s="1">
        <v>94</v>
      </c>
      <c r="E488" s="1">
        <v>40.22</v>
      </c>
      <c r="F488" s="1">
        <v>0</v>
      </c>
      <c r="G488" s="1">
        <v>0</v>
      </c>
      <c r="H488" s="1">
        <v>26</v>
      </c>
      <c r="I488" s="1">
        <v>1</v>
      </c>
      <c r="J488" s="1">
        <v>96.3</v>
      </c>
      <c r="K488" s="1">
        <v>2</v>
      </c>
      <c r="L488" s="1">
        <v>2</v>
      </c>
      <c r="M488" s="1">
        <v>10.821999999999999</v>
      </c>
      <c r="N488" s="1">
        <v>21</v>
      </c>
      <c r="O488" s="1">
        <v>601</v>
      </c>
      <c r="P488" s="1">
        <v>6.2492999999999999</v>
      </c>
      <c r="Q488" s="1">
        <v>6.5039999999999996</v>
      </c>
      <c r="R488" s="5">
        <v>4.2824074074074075E-4</v>
      </c>
      <c r="S488" s="1">
        <v>5039</v>
      </c>
      <c r="T488" s="6">
        <v>10.199999999999999</v>
      </c>
      <c r="U488" s="1" t="str">
        <f>IF(ISNUMBER(SEARCH("Vande Bharat",Table1[[#This Row],[Video title]])),"Vande Bharat","Other")</f>
        <v>Other</v>
      </c>
    </row>
    <row r="489" spans="1:21" x14ac:dyDescent="0.3">
      <c r="A489" s="4" t="s">
        <v>996</v>
      </c>
      <c r="B489" s="1" t="s">
        <v>997</v>
      </c>
      <c r="C489" s="7">
        <v>45075</v>
      </c>
      <c r="D489" s="1">
        <v>48</v>
      </c>
      <c r="E489" s="1">
        <v>52.24</v>
      </c>
      <c r="F489" s="1">
        <v>0</v>
      </c>
      <c r="G489" s="1">
        <v>0</v>
      </c>
      <c r="H489" s="1">
        <v>16</v>
      </c>
      <c r="I489" s="1">
        <v>0</v>
      </c>
      <c r="J489" s="1">
        <v>100</v>
      </c>
      <c r="K489" s="1">
        <v>2</v>
      </c>
      <c r="L489" s="1">
        <v>4</v>
      </c>
      <c r="M489" s="1">
        <v>12.664999999999999</v>
      </c>
      <c r="N489" s="1">
        <v>20</v>
      </c>
      <c r="O489" s="1">
        <v>564</v>
      </c>
      <c r="P489" s="1">
        <v>3.9281000000000001</v>
      </c>
      <c r="Q489" s="1">
        <v>7.1429999999999998</v>
      </c>
      <c r="R489" s="5">
        <v>2.8935185185185184E-4</v>
      </c>
      <c r="S489" s="1">
        <v>7031</v>
      </c>
      <c r="T489" s="6">
        <v>6.8</v>
      </c>
      <c r="U489" s="1" t="str">
        <f>IF(ISNUMBER(SEARCH("Vande Bharat",Table1[[#This Row],[Video title]])),"Vande Bharat","Other")</f>
        <v>Other</v>
      </c>
    </row>
    <row r="490" spans="1:21" x14ac:dyDescent="0.3">
      <c r="A490" s="4" t="s">
        <v>998</v>
      </c>
      <c r="B490" s="1" t="s">
        <v>999</v>
      </c>
      <c r="C490" s="7">
        <v>44451</v>
      </c>
      <c r="D490" s="1">
        <v>214</v>
      </c>
      <c r="E490" s="1">
        <v>29.63</v>
      </c>
      <c r="F490" s="1">
        <v>0</v>
      </c>
      <c r="G490" s="1">
        <v>0</v>
      </c>
      <c r="H490" s="1">
        <v>35</v>
      </c>
      <c r="I490" s="1">
        <v>3</v>
      </c>
      <c r="J490" s="1">
        <v>92.11</v>
      </c>
      <c r="K490" s="1">
        <v>2</v>
      </c>
      <c r="L490" s="1">
        <v>6</v>
      </c>
      <c r="M490" s="1">
        <v>28.832999999999998</v>
      </c>
      <c r="N490" s="1">
        <v>8</v>
      </c>
      <c r="O490" s="1">
        <v>575</v>
      </c>
      <c r="P490" s="1">
        <v>10.129300000000001</v>
      </c>
      <c r="Q490" s="1">
        <v>16.579000000000001</v>
      </c>
      <c r="R490" s="5">
        <v>7.291666666666667E-4</v>
      </c>
      <c r="S490" s="1">
        <v>5441</v>
      </c>
      <c r="T490" s="6">
        <v>7.31</v>
      </c>
      <c r="U490" s="1" t="str">
        <f>IF(ISNUMBER(SEARCH("Vande Bharat",Table1[[#This Row],[Video title]])),"Vande Bharat","Other")</f>
        <v>Other</v>
      </c>
    </row>
    <row r="491" spans="1:21" x14ac:dyDescent="0.3">
      <c r="A491" s="4" t="s">
        <v>1000</v>
      </c>
      <c r="B491" s="1" t="s">
        <v>1001</v>
      </c>
      <c r="C491" s="7">
        <v>44928</v>
      </c>
      <c r="D491" s="1">
        <v>50</v>
      </c>
      <c r="E491" s="1">
        <v>54.47</v>
      </c>
      <c r="F491" s="1">
        <v>1</v>
      </c>
      <c r="G491" s="1">
        <v>0</v>
      </c>
      <c r="H491" s="1">
        <v>14</v>
      </c>
      <c r="I491" s="1">
        <v>0</v>
      </c>
      <c r="J491" s="1">
        <v>100</v>
      </c>
      <c r="K491" s="1">
        <v>0</v>
      </c>
      <c r="L491" s="1">
        <v>8</v>
      </c>
      <c r="M491" s="1">
        <v>9.4979999999999993</v>
      </c>
      <c r="N491" s="1">
        <v>14</v>
      </c>
      <c r="O491" s="1">
        <v>606</v>
      </c>
      <c r="P491" s="1">
        <v>4.5842000000000001</v>
      </c>
      <c r="Q491" s="1">
        <v>5.7560000000000002</v>
      </c>
      <c r="R491" s="5">
        <v>3.1250000000000001E-4</v>
      </c>
      <c r="S491" s="1">
        <v>5706</v>
      </c>
      <c r="T491" s="6">
        <v>9.1300000000000008</v>
      </c>
      <c r="U491" s="1" t="str">
        <f>IF(ISNUMBER(SEARCH("Vande Bharat",Table1[[#This Row],[Video title]])),"Vande Bharat","Other")</f>
        <v>Other</v>
      </c>
    </row>
    <row r="492" spans="1:21" x14ac:dyDescent="0.3">
      <c r="A492" s="4" t="s">
        <v>1002</v>
      </c>
      <c r="B492" s="1" t="s">
        <v>1003</v>
      </c>
      <c r="C492" s="7">
        <v>46029</v>
      </c>
      <c r="D492" s="1">
        <v>16</v>
      </c>
      <c r="E492" s="1">
        <v>70.45</v>
      </c>
      <c r="F492" s="1">
        <v>1</v>
      </c>
      <c r="G492" s="1">
        <v>0</v>
      </c>
      <c r="H492" s="1">
        <v>21</v>
      </c>
      <c r="I492" s="1">
        <v>1</v>
      </c>
      <c r="J492" s="1">
        <v>95.45</v>
      </c>
      <c r="K492" s="1">
        <v>0</v>
      </c>
      <c r="L492" s="1">
        <v>2</v>
      </c>
      <c r="M492" s="1">
        <v>0.92600000000000005</v>
      </c>
      <c r="N492" s="1">
        <v>57</v>
      </c>
      <c r="O492" s="1">
        <v>1766</v>
      </c>
      <c r="P492" s="1">
        <v>2.1208999999999998</v>
      </c>
      <c r="Q492" s="1">
        <v>0.499</v>
      </c>
      <c r="R492" s="5">
        <v>1.273148148148148E-4</v>
      </c>
      <c r="S492" s="1">
        <v>1071</v>
      </c>
      <c r="T492" s="6">
        <v>2.52</v>
      </c>
      <c r="U492" s="1" t="str">
        <f>IF(ISNUMBER(SEARCH("Vande Bharat",Table1[[#This Row],[Video title]])),"Vande Bharat","Other")</f>
        <v>Other</v>
      </c>
    </row>
    <row r="493" spans="1:21" x14ac:dyDescent="0.3">
      <c r="A493" s="4" t="s">
        <v>1004</v>
      </c>
      <c r="B493" s="1" t="s">
        <v>1005</v>
      </c>
      <c r="C493" s="7">
        <v>44250</v>
      </c>
      <c r="D493" s="1">
        <v>82</v>
      </c>
      <c r="E493" s="1">
        <v>48.9</v>
      </c>
      <c r="F493" s="1">
        <v>1</v>
      </c>
      <c r="G493" s="1">
        <v>0</v>
      </c>
      <c r="H493" s="1">
        <v>14</v>
      </c>
      <c r="I493" s="1">
        <v>1</v>
      </c>
      <c r="J493" s="1">
        <v>93.33</v>
      </c>
      <c r="K493" s="1">
        <v>3</v>
      </c>
      <c r="L493" s="1">
        <v>12</v>
      </c>
      <c r="M493" s="1">
        <v>0.19400000000000001</v>
      </c>
      <c r="N493" s="1">
        <v>13</v>
      </c>
      <c r="O493" s="1">
        <v>561</v>
      </c>
      <c r="P493" s="1">
        <v>6.2483000000000004</v>
      </c>
      <c r="Q493" s="1">
        <v>0.109</v>
      </c>
      <c r="R493" s="5">
        <v>4.6296296296296298E-4</v>
      </c>
      <c r="S493" s="1">
        <v>5512</v>
      </c>
      <c r="T493" s="6">
        <v>6.59</v>
      </c>
      <c r="U493" s="1" t="str">
        <f>IF(ISNUMBER(SEARCH("Vande Bharat",Table1[[#This Row],[Video title]])),"Vande Bharat","Other")</f>
        <v>Other</v>
      </c>
    </row>
    <row r="494" spans="1:21" x14ac:dyDescent="0.3">
      <c r="A494" s="4" t="s">
        <v>1006</v>
      </c>
      <c r="B494" s="1" t="s">
        <v>1007</v>
      </c>
      <c r="C494" s="7">
        <v>44146</v>
      </c>
      <c r="D494" s="1">
        <v>83</v>
      </c>
      <c r="E494" s="1">
        <v>49.19</v>
      </c>
      <c r="F494" s="1">
        <v>7</v>
      </c>
      <c r="G494" s="1">
        <v>1</v>
      </c>
      <c r="H494" s="1">
        <v>29</v>
      </c>
      <c r="I494" s="1">
        <v>0</v>
      </c>
      <c r="J494" s="1">
        <v>100</v>
      </c>
      <c r="K494" s="1">
        <v>0</v>
      </c>
      <c r="L494" s="1">
        <v>12</v>
      </c>
      <c r="M494" s="1">
        <v>0.42099999999999999</v>
      </c>
      <c r="N494" s="1">
        <v>5</v>
      </c>
      <c r="O494" s="1">
        <v>587</v>
      </c>
      <c r="P494" s="1">
        <v>6.6573000000000002</v>
      </c>
      <c r="Q494" s="1">
        <v>0.247</v>
      </c>
      <c r="R494" s="5">
        <v>4.6296296296296298E-4</v>
      </c>
      <c r="S494" s="1">
        <v>7131</v>
      </c>
      <c r="T494" s="6">
        <v>6.14</v>
      </c>
      <c r="U494" s="1" t="str">
        <f>IF(ISNUMBER(SEARCH("Vande Bharat",Table1[[#This Row],[Video title]])),"Vande Bharat","Other")</f>
        <v>Other</v>
      </c>
    </row>
    <row r="495" spans="1:21" x14ac:dyDescent="0.3">
      <c r="A495" s="4" t="s">
        <v>1008</v>
      </c>
      <c r="B495" s="1" t="s">
        <v>1009</v>
      </c>
      <c r="C495" s="7">
        <v>44276</v>
      </c>
      <c r="D495" s="1">
        <v>285</v>
      </c>
      <c r="E495" s="1">
        <v>28.28</v>
      </c>
      <c r="F495" s="1">
        <v>3</v>
      </c>
      <c r="G495" s="1">
        <v>0</v>
      </c>
      <c r="H495" s="1">
        <v>29</v>
      </c>
      <c r="I495" s="1">
        <v>4</v>
      </c>
      <c r="J495" s="1">
        <v>87.88</v>
      </c>
      <c r="K495" s="1">
        <v>2</v>
      </c>
      <c r="L495" s="1">
        <v>13</v>
      </c>
      <c r="M495" s="1">
        <v>0.54700000000000004</v>
      </c>
      <c r="N495" s="1">
        <v>15</v>
      </c>
      <c r="O495" s="1">
        <v>666</v>
      </c>
      <c r="P495" s="1">
        <v>14.910600000000001</v>
      </c>
      <c r="Q495" s="1">
        <v>0.36399999999999999</v>
      </c>
      <c r="R495" s="5">
        <v>9.2592592592592596E-4</v>
      </c>
      <c r="S495" s="1">
        <v>7017</v>
      </c>
      <c r="T495" s="6">
        <v>5.81</v>
      </c>
      <c r="U495" s="1" t="str">
        <f>IF(ISNUMBER(SEARCH("Vande Bharat",Table1[[#This Row],[Video title]])),"Vande Bharat","Other")</f>
        <v>Other</v>
      </c>
    </row>
    <row r="496" spans="1:21" x14ac:dyDescent="0.3">
      <c r="A496" s="4" t="s">
        <v>1010</v>
      </c>
      <c r="B496" s="1" t="s">
        <v>1011</v>
      </c>
      <c r="C496" s="7">
        <v>44426</v>
      </c>
      <c r="D496" s="1">
        <v>91</v>
      </c>
      <c r="E496" s="1">
        <v>45.81</v>
      </c>
      <c r="F496" s="1">
        <v>2</v>
      </c>
      <c r="G496" s="1">
        <v>0</v>
      </c>
      <c r="H496" s="1">
        <v>33</v>
      </c>
      <c r="I496" s="1">
        <v>0</v>
      </c>
      <c r="J496" s="1">
        <v>100</v>
      </c>
      <c r="K496" s="1">
        <v>1</v>
      </c>
      <c r="L496" s="1">
        <v>8</v>
      </c>
      <c r="M496" s="1">
        <v>17.013999999999999</v>
      </c>
      <c r="N496" s="1">
        <v>16</v>
      </c>
      <c r="O496" s="1">
        <v>578</v>
      </c>
      <c r="P496" s="1">
        <v>6.6924000000000001</v>
      </c>
      <c r="Q496" s="1">
        <v>9.8339999999999996</v>
      </c>
      <c r="R496" s="5">
        <v>4.7453703703703704E-4</v>
      </c>
      <c r="S496" s="1">
        <v>5136</v>
      </c>
      <c r="T496" s="6">
        <v>7.38</v>
      </c>
      <c r="U496" s="1" t="str">
        <f>IF(ISNUMBER(SEARCH("Vande Bharat",Table1[[#This Row],[Video title]])),"Vande Bharat","Other")</f>
        <v>Other</v>
      </c>
    </row>
    <row r="497" spans="1:21" x14ac:dyDescent="0.3">
      <c r="A497" s="4" t="s">
        <v>1012</v>
      </c>
      <c r="B497" s="1" t="s">
        <v>1013</v>
      </c>
      <c r="C497" s="7">
        <v>44296</v>
      </c>
      <c r="D497" s="1">
        <v>126</v>
      </c>
      <c r="E497" s="1">
        <v>41.42</v>
      </c>
      <c r="F497" s="1">
        <v>4</v>
      </c>
      <c r="G497" s="1">
        <v>0</v>
      </c>
      <c r="H497" s="1">
        <v>32</v>
      </c>
      <c r="I497" s="1">
        <v>1</v>
      </c>
      <c r="J497" s="1">
        <v>96.97</v>
      </c>
      <c r="K497" s="1">
        <v>1</v>
      </c>
      <c r="L497" s="1">
        <v>11</v>
      </c>
      <c r="M497" s="1">
        <v>2.7360000000000002</v>
      </c>
      <c r="N497" s="1">
        <v>10</v>
      </c>
      <c r="O497" s="1">
        <v>575</v>
      </c>
      <c r="P497" s="1">
        <v>8.3358000000000008</v>
      </c>
      <c r="Q497" s="1">
        <v>1.573</v>
      </c>
      <c r="R497" s="5">
        <v>6.018518518518519E-4</v>
      </c>
      <c r="S497" s="1">
        <v>8286</v>
      </c>
      <c r="T497" s="6">
        <v>4.57</v>
      </c>
      <c r="U497" s="1" t="str">
        <f>IF(ISNUMBER(SEARCH("Vande Bharat",Table1[[#This Row],[Video title]])),"Vande Bharat","Other")</f>
        <v>Other</v>
      </c>
    </row>
    <row r="498" spans="1:21" x14ac:dyDescent="0.3">
      <c r="A498" s="4" t="s">
        <v>1014</v>
      </c>
      <c r="B498" s="1" t="s">
        <v>1015</v>
      </c>
      <c r="C498" s="7">
        <v>44858</v>
      </c>
      <c r="D498" s="1">
        <v>73</v>
      </c>
      <c r="E498" s="1">
        <v>48.13</v>
      </c>
      <c r="F498" s="1">
        <v>1</v>
      </c>
      <c r="G498" s="1">
        <v>0</v>
      </c>
      <c r="H498" s="1">
        <v>18</v>
      </c>
      <c r="I498" s="1">
        <v>0</v>
      </c>
      <c r="J498" s="1">
        <v>100</v>
      </c>
      <c r="K498" s="1">
        <v>2</v>
      </c>
      <c r="L498" s="1">
        <v>7</v>
      </c>
      <c r="M498" s="1">
        <v>14.916</v>
      </c>
      <c r="N498" s="1">
        <v>16</v>
      </c>
      <c r="O498" s="1">
        <v>558</v>
      </c>
      <c r="P498" s="1">
        <v>5.4461000000000004</v>
      </c>
      <c r="Q498" s="1">
        <v>8.3230000000000004</v>
      </c>
      <c r="R498" s="5">
        <v>4.0509259259259258E-4</v>
      </c>
      <c r="S498" s="1">
        <v>5189</v>
      </c>
      <c r="T498" s="6">
        <v>9.08</v>
      </c>
      <c r="U498" s="1" t="str">
        <f>IF(ISNUMBER(SEARCH("Vande Bharat",Table1[[#This Row],[Video title]])),"Vande Bharat","Other")</f>
        <v>Other</v>
      </c>
    </row>
    <row r="499" spans="1:21" x14ac:dyDescent="0.3">
      <c r="A499" s="4" t="s">
        <v>1016</v>
      </c>
      <c r="B499" s="1" t="s">
        <v>1017</v>
      </c>
      <c r="C499" s="7">
        <v>44397</v>
      </c>
      <c r="D499" s="1">
        <v>146</v>
      </c>
      <c r="E499" s="1">
        <v>38.630000000000003</v>
      </c>
      <c r="F499" s="1">
        <v>0</v>
      </c>
      <c r="G499" s="1">
        <v>0</v>
      </c>
      <c r="H499" s="1">
        <v>29</v>
      </c>
      <c r="I499" s="1">
        <v>0</v>
      </c>
      <c r="J499" s="1">
        <v>100</v>
      </c>
      <c r="K499" s="1">
        <v>0</v>
      </c>
      <c r="L499" s="1">
        <v>10</v>
      </c>
      <c r="M499" s="1">
        <v>15.166</v>
      </c>
      <c r="N499" s="1">
        <v>8</v>
      </c>
      <c r="O499" s="1">
        <v>589</v>
      </c>
      <c r="P499" s="1">
        <v>9.2270000000000003</v>
      </c>
      <c r="Q499" s="1">
        <v>8.9329999999999998</v>
      </c>
      <c r="R499" s="5">
        <v>6.4814814814814813E-4</v>
      </c>
      <c r="S499" s="1">
        <v>6081</v>
      </c>
      <c r="T499" s="6">
        <v>6.61</v>
      </c>
      <c r="U499" s="1" t="str">
        <f>IF(ISNUMBER(SEARCH("Vande Bharat",Table1[[#This Row],[Video title]])),"Vande Bharat","Other")</f>
        <v>Other</v>
      </c>
    </row>
    <row r="500" spans="1:21" x14ac:dyDescent="0.3">
      <c r="A500" s="4" t="s">
        <v>1018</v>
      </c>
      <c r="B500" s="1" t="s">
        <v>1019</v>
      </c>
      <c r="C500" s="7">
        <v>45480</v>
      </c>
      <c r="D500" s="1">
        <v>52</v>
      </c>
      <c r="E500" s="1">
        <v>36.19</v>
      </c>
      <c r="F500" s="1">
        <v>1</v>
      </c>
      <c r="G500" s="1">
        <v>0</v>
      </c>
      <c r="H500" s="1">
        <v>23</v>
      </c>
      <c r="I500" s="1">
        <v>0</v>
      </c>
      <c r="J500" s="1">
        <v>100</v>
      </c>
      <c r="K500" s="1">
        <v>1</v>
      </c>
      <c r="L500" s="1">
        <v>0</v>
      </c>
      <c r="M500" s="1">
        <v>1.534</v>
      </c>
      <c r="N500" s="1">
        <v>15</v>
      </c>
      <c r="O500" s="1">
        <v>531</v>
      </c>
      <c r="P500" s="1">
        <v>2.7033</v>
      </c>
      <c r="Q500" s="1">
        <v>0.79100000000000004</v>
      </c>
      <c r="R500" s="5">
        <v>2.0833333333333335E-4</v>
      </c>
      <c r="S500" s="1">
        <v>1089</v>
      </c>
      <c r="T500" s="6">
        <v>2.66</v>
      </c>
      <c r="U500" s="1" t="str">
        <f>IF(ISNUMBER(SEARCH("Vande Bharat",Table1[[#This Row],[Video title]])),"Vande Bharat","Other")</f>
        <v>Other</v>
      </c>
    </row>
    <row r="501" spans="1:21" x14ac:dyDescent="0.3">
      <c r="A501" s="4" t="s">
        <v>344</v>
      </c>
      <c r="B501" s="1" t="s">
        <v>345</v>
      </c>
      <c r="C501" s="7">
        <v>44835</v>
      </c>
      <c r="D501" s="1">
        <v>1666</v>
      </c>
      <c r="E501" s="1">
        <v>9.49</v>
      </c>
      <c r="F501" s="1">
        <v>9</v>
      </c>
      <c r="G501" s="1">
        <v>2</v>
      </c>
      <c r="H501" s="1">
        <v>67</v>
      </c>
      <c r="I501" s="1">
        <v>2</v>
      </c>
      <c r="J501" s="1">
        <v>97.1</v>
      </c>
      <c r="K501" s="1">
        <v>21</v>
      </c>
      <c r="L501" s="1">
        <v>8</v>
      </c>
      <c r="M501" s="1">
        <v>40.479999999999997</v>
      </c>
      <c r="N501" s="1">
        <v>135</v>
      </c>
      <c r="O501" s="1">
        <v>2347</v>
      </c>
      <c r="P501" s="1">
        <v>103.0543</v>
      </c>
      <c r="Q501" s="1">
        <v>95.006</v>
      </c>
      <c r="R501" s="5">
        <v>1.8287037037037037E-3</v>
      </c>
      <c r="S501" s="1">
        <v>28828</v>
      </c>
      <c r="T501" s="6">
        <v>6.36</v>
      </c>
      <c r="U501" s="1" t="str">
        <f>IF(ISNUMBER(SEARCH("Vande Bharat",Table1[[#This Row],[Video title]])),"Vande Bharat","Other")</f>
        <v>Vande Bharat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AD3F-CD4F-4240-AECE-CC2092CF25AA}">
  <dimension ref="A1:X2"/>
  <sheetViews>
    <sheetView workbookViewId="0">
      <selection activeCell="A2" sqref="A2:X2"/>
    </sheetView>
  </sheetViews>
  <sheetFormatPr defaultRowHeight="14.4" x14ac:dyDescent="0.3"/>
  <sheetData>
    <row r="1" spans="1:24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</row>
    <row r="2" spans="1:24" x14ac:dyDescent="0.3">
      <c r="A2" s="13" t="s">
        <v>24</v>
      </c>
      <c r="B2" s="14"/>
      <c r="C2" s="14"/>
      <c r="D2" s="14"/>
      <c r="E2" s="14">
        <v>12.23</v>
      </c>
      <c r="F2" s="14">
        <v>0</v>
      </c>
      <c r="G2" s="14">
        <v>0</v>
      </c>
      <c r="H2" s="14">
        <v>0</v>
      </c>
      <c r="I2" s="14">
        <v>0</v>
      </c>
      <c r="J2" s="14">
        <v>6565</v>
      </c>
      <c r="K2" s="14">
        <v>1371</v>
      </c>
      <c r="L2" s="14">
        <v>36796</v>
      </c>
      <c r="M2" s="14">
        <v>1414</v>
      </c>
      <c r="N2" s="14">
        <v>96.3</v>
      </c>
      <c r="O2" s="14">
        <v>6120</v>
      </c>
      <c r="P2" s="14">
        <v>6917</v>
      </c>
      <c r="Q2" s="14">
        <v>26.527999999999999</v>
      </c>
      <c r="R2" s="14">
        <v>64414</v>
      </c>
      <c r="S2" s="14">
        <v>1951402</v>
      </c>
      <c r="T2" s="14">
        <v>65920.853900000002</v>
      </c>
      <c r="U2" s="14">
        <v>49028.22</v>
      </c>
      <c r="V2" s="15">
        <v>1.4814814814814814E-3</v>
      </c>
      <c r="W2" s="14">
        <v>17728225</v>
      </c>
      <c r="X2" s="17">
        <v>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data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PUSHKAR KHAMITKAR</cp:lastModifiedBy>
  <dcterms:created xsi:type="dcterms:W3CDTF">2026-08-22T21:19:41Z</dcterms:created>
  <dcterms:modified xsi:type="dcterms:W3CDTF">2026-08-23T12:42:54Z</dcterms:modified>
</cp:coreProperties>
</file>